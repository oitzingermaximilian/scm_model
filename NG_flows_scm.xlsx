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11d695511771a1/Desktop/Repositories/scm_model/"/>
    </mc:Choice>
  </mc:AlternateContent>
  <xr:revisionPtr revIDLastSave="28" documentId="8_{063E1CBA-981A-4F9C-9ABC-D9966DC7B63B}" xr6:coauthVersionLast="47" xr6:coauthVersionMax="47" xr10:uidLastSave="{96F35781-E36A-4300-B3FD-EC976D92EEDF}"/>
  <bookViews>
    <workbookView xWindow="-28920" yWindow="6825" windowWidth="29040" windowHeight="17520" activeTab="1" xr2:uid="{3FD26122-B3FE-4856-AD14-3A87BCC0C804}"/>
  </bookViews>
  <sheets>
    <sheet name="Tabelle1" sheetId="1" r:id="rId1"/>
    <sheet name="demand" sheetId="2" r:id="rId2"/>
    <sheet name="supply_share" sheetId="3" r:id="rId3"/>
  </sheets>
  <definedNames>
    <definedName name="_xlnm._FilterDatabase" localSheetId="1" hidden="1">demand!$C$1:$C$73</definedName>
    <definedName name="_xlnm._FilterDatabase" localSheetId="0" hidden="1">Tabelle1!$B$1:$B$275</definedName>
    <definedName name="demand_table">Tabelle1!$A$1:$D$55</definedName>
    <definedName name="supply_share">Tabelle1!$K$59:$M$66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3" i="1" l="1"/>
  <c r="N13" i="1"/>
  <c r="M13" i="1"/>
  <c r="M20" i="1"/>
  <c r="O20" i="1"/>
  <c r="Q20" i="1"/>
  <c r="S20" i="1"/>
  <c r="U20" i="1"/>
  <c r="W20" i="1"/>
  <c r="Y20" i="1"/>
  <c r="AA20" i="1"/>
  <c r="O13" i="1" s="1"/>
  <c r="K20" i="1"/>
  <c r="J30" i="1"/>
  <c r="J29" i="1"/>
  <c r="J28" i="1"/>
  <c r="P29" i="1" l="1"/>
  <c r="O29" i="1"/>
  <c r="N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tc={B8F661E6-2E40-436E-BE4B-F9D7A626DB56}</author>
  </authors>
  <commentList>
    <comment ref="E59" authorId="0" shapeId="0" xr:uid="{B8F661E6-2E40-436E-BE4B-F9D7A626DB5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all depends on which scenario we choose to use for projections.</t>
      </text>
    </comment>
  </commentList>
</comments>
</file>

<file path=xl/sharedStrings.xml><?xml version="1.0" encoding="utf-8"?>
<sst xmlns="http://schemas.openxmlformats.org/spreadsheetml/2006/main" count="469" uniqueCount="44">
  <si>
    <t>year</t>
  </si>
  <si>
    <t>region_i</t>
  </si>
  <si>
    <t>sector_s</t>
  </si>
  <si>
    <t>ng_volume</t>
  </si>
  <si>
    <t>NO</t>
  </si>
  <si>
    <t>Industry</t>
  </si>
  <si>
    <t>Power</t>
  </si>
  <si>
    <t>Buildings</t>
  </si>
  <si>
    <t>UK</t>
  </si>
  <si>
    <t>EU27</t>
  </si>
  <si>
    <t>FROM SCM_INPUT_08.09.2026</t>
  </si>
  <si>
    <t>ROW</t>
  </si>
  <si>
    <t>EU</t>
  </si>
  <si>
    <t>2023</t>
  </si>
  <si>
    <t>Norway</t>
  </si>
  <si>
    <t xml:space="preserve">We derive the baseline supply mix from eurostat </t>
  </si>
  <si>
    <t>[nrg_ti_gas] Imports of natural gas by partner country</t>
  </si>
  <si>
    <t>TIME</t>
  </si>
  <si>
    <t>2015</t>
  </si>
  <si>
    <t/>
  </si>
  <si>
    <t>2016</t>
  </si>
  <si>
    <t>2017</t>
  </si>
  <si>
    <t>2018</t>
  </si>
  <si>
    <t>2019</t>
  </si>
  <si>
    <t>2020</t>
  </si>
  <si>
    <t>2021</t>
  </si>
  <si>
    <t>2022</t>
  </si>
  <si>
    <t>2024</t>
  </si>
  <si>
    <t>GEO (Labels)</t>
  </si>
  <si>
    <t>European Union - 27 countries (from 2020)</t>
  </si>
  <si>
    <t>million m^3</t>
  </si>
  <si>
    <t>DUKES 2026 Chapter 4</t>
  </si>
  <si>
    <t xml:space="preserve">UK </t>
  </si>
  <si>
    <t>Total Consumption</t>
  </si>
  <si>
    <t>:</t>
  </si>
  <si>
    <t>Imports (TWh)</t>
  </si>
  <si>
    <t>%</t>
  </si>
  <si>
    <t>GWh</t>
  </si>
  <si>
    <t>Total Production</t>
  </si>
  <si>
    <t>Indigenous Production</t>
  </si>
  <si>
    <t>Norway Inland Consumption from Eurostat</t>
  </si>
  <si>
    <t>region_j</t>
  </si>
  <si>
    <t>supply_fraction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</si>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</sst>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##########"/>
    <numFmt numFmtId="165" formatCode="#,##0.0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  <charset val="161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9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2" fillId="0" borderId="0"/>
    <xf numFmtId="0" fontId="13" fillId="0" borderId="0" applyNumberFormat="0" applyBorder="0" applyAlignment="0">
      <alignment horizontal="left" vertical="center" wrapText="1"/>
    </xf>
    <xf numFmtId="0" fontId="14" fillId="0" borderId="0">
      <alignment horizontal="center" vertical="center"/>
    </xf>
    <xf numFmtId="43" fontId="11" fillId="0" borderId="0" applyFont="0" applyFill="0" applyBorder="0" applyAlignment="0" applyProtection="0"/>
    <xf numFmtId="0" fontId="3" fillId="0" borderId="0">
      <alignment vertical="center" wrapText="1"/>
    </xf>
  </cellStyleXfs>
  <cellXfs count="28">
    <xf numFmtId="0" fontId="0" fillId="0" borderId="0" xfId="0"/>
    <xf numFmtId="0" fontId="1" fillId="2" borderId="0" xfId="0" applyFont="1" applyFill="1"/>
    <xf numFmtId="2" fontId="0" fillId="0" borderId="0" xfId="0" applyNumberFormat="1"/>
    <xf numFmtId="0" fontId="2" fillId="0" borderId="0" xfId="0" applyFont="1"/>
    <xf numFmtId="0" fontId="3" fillId="0" borderId="0" xfId="1"/>
    <xf numFmtId="0" fontId="4" fillId="0" borderId="0" xfId="2"/>
    <xf numFmtId="0" fontId="8" fillId="4" borderId="7" xfId="3" applyFont="1" applyFill="1" applyBorder="1" applyAlignment="1">
      <alignment horizontal="right" vertical="center"/>
    </xf>
    <xf numFmtId="0" fontId="6" fillId="5" borderId="7" xfId="3" applyFont="1" applyFill="1" applyBorder="1" applyAlignment="1">
      <alignment horizontal="left" vertical="center"/>
    </xf>
    <xf numFmtId="0" fontId="6" fillId="6" borderId="7" xfId="3" applyFont="1" applyFill="1" applyBorder="1" applyAlignment="1">
      <alignment horizontal="left" vertical="center"/>
    </xf>
    <xf numFmtId="0" fontId="5" fillId="7" borderId="0" xfId="3" applyFill="1"/>
    <xf numFmtId="3" fontId="7" fillId="8" borderId="0" xfId="3" applyNumberFormat="1" applyFont="1" applyFill="1" applyAlignment="1">
      <alignment horizontal="right" vertical="center" shrinkToFit="1"/>
    </xf>
    <xf numFmtId="164" fontId="7" fillId="8" borderId="0" xfId="3" applyNumberFormat="1" applyFont="1" applyFill="1" applyAlignment="1">
      <alignment horizontal="right" vertical="center" shrinkToFit="1"/>
    </xf>
    <xf numFmtId="165" fontId="7" fillId="8" borderId="0" xfId="3" applyNumberFormat="1" applyFont="1" applyFill="1" applyAlignment="1">
      <alignment horizontal="right" vertical="center" shrinkToFit="1"/>
    </xf>
    <xf numFmtId="0" fontId="9" fillId="6" borderId="7" xfId="3" applyFont="1" applyFill="1" applyBorder="1" applyAlignment="1">
      <alignment horizontal="left" vertical="center"/>
    </xf>
    <xf numFmtId="3" fontId="10" fillId="8" borderId="0" xfId="3" applyNumberFormat="1" applyFont="1" applyFill="1" applyAlignment="1">
      <alignment horizontal="right" vertical="center" shrinkToFit="1"/>
    </xf>
    <xf numFmtId="164" fontId="10" fillId="8" borderId="0" xfId="3" applyNumberFormat="1" applyFont="1" applyFill="1" applyAlignment="1">
      <alignment horizontal="right" vertical="center" shrinkToFit="1"/>
    </xf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8" xfId="0" applyFont="1" applyFill="1" applyBorder="1"/>
    <xf numFmtId="0" fontId="1" fillId="3" borderId="0" xfId="0" applyFont="1" applyFill="1"/>
    <xf numFmtId="0" fontId="1" fillId="3" borderId="9" xfId="0" applyFont="1" applyFill="1" applyBorder="1"/>
    <xf numFmtId="0" fontId="1" fillId="3" borderId="4" xfId="0" applyFont="1" applyFill="1" applyBorder="1"/>
    <xf numFmtId="2" fontId="1" fillId="3" borderId="5" xfId="0" applyNumberFormat="1" applyFont="1" applyFill="1" applyBorder="1"/>
    <xf numFmtId="2" fontId="1" fillId="3" borderId="6" xfId="0" applyNumberFormat="1" applyFont="1" applyFill="1" applyBorder="1"/>
    <xf numFmtId="165" fontId="10" fillId="8" borderId="0" xfId="3" applyNumberFormat="1" applyFont="1" applyFill="1" applyAlignment="1">
      <alignment horizontal="right" vertical="center" shrinkToFit="1"/>
    </xf>
    <xf numFmtId="2" fontId="2" fillId="0" borderId="0" xfId="0" applyNumberFormat="1" applyFont="1"/>
    <xf numFmtId="0" fontId="8" fillId="4" borderId="7" xfId="3" applyFont="1" applyFill="1" applyBorder="1" applyAlignment="1">
      <alignment horizontal="left" vertical="center"/>
    </xf>
  </cellXfs>
  <cellStyles count="9">
    <cellStyle name="Komma 2" xfId="7" xr:uid="{A73D8BCA-A881-4B1C-AF23-3AF20EC5833F}"/>
    <cellStyle name="Link" xfId="2" builtinId="8"/>
    <cellStyle name="Normal 2" xfId="4" xr:uid="{D20AB9E2-2957-4169-9AF8-2BB039F9A456}"/>
    <cellStyle name="Normal 4" xfId="8" xr:uid="{2E1E22F4-38B9-423B-B1D4-F42DFC421E62}"/>
    <cellStyle name="Notes" xfId="5" xr:uid="{47C33B30-13B4-4A20-A565-7A5B4FBED5D0}"/>
    <cellStyle name="Notes 3" xfId="6" xr:uid="{12128CAA-9CBF-4230-9565-27E9BF4B9B26}"/>
    <cellStyle name="Standard" xfId="0" builtinId="0"/>
    <cellStyle name="Standard 2" xfId="1" xr:uid="{8F10BC5A-D3E5-4B64-83C5-D986D807AE23}"/>
    <cellStyle name="Standard 3" xfId="3" xr:uid="{356112E7-E834-4F9F-A0C5-FB9E132175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grid Sundvor" id="{F9D697FA-2F4D-43EF-AA2E-FEBF47E9EF6C}" userId="S::orie4242@ox.ac.uk::2a345b66-f9dd-4a35-86be-f8775cfdb896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9" dT="2026-09-07T15:19:44.89" personId="{F9D697FA-2F4D-43EF-AA2E-FEBF47E9EF6C}" id="{B8F661E6-2E40-436E-BE4B-F9D7A626DB56}">
    <text>This all depends on which scenario we choose to use for projections.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ssets.publishing.service.gov.uk/media/6a69f4232c4b5ba9d1242a67/DUKES_2026_Chapter_4.pdf" TargetMode="External"/><Relationship Id="rId1" Type="http://schemas.openxmlformats.org/officeDocument/2006/relationships/hyperlink" Target="https://ec.europa.eu/eurostat/databrowser/view/nrg_ti_gas__custom_22733653/default/table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E275-EC87-4637-AE6E-47F98D870B8A}">
  <dimension ref="A1:AK275"/>
  <sheetViews>
    <sheetView topLeftCell="A34" zoomScaleNormal="100" workbookViewId="0">
      <selection activeCell="D2" sqref="A2:D73"/>
    </sheetView>
  </sheetViews>
  <sheetFormatPr baseColWidth="10" defaultRowHeight="15" x14ac:dyDescent="0.25"/>
  <cols>
    <col min="2" max="2" width="18.42578125" customWidth="1"/>
    <col min="3" max="3" width="17" customWidth="1"/>
    <col min="4" max="4" width="19.5703125" customWidth="1"/>
    <col min="9" max="9" width="12.28515625" bestFit="1" customWidth="1"/>
    <col min="13" max="13" width="11.5703125" bestFit="1" customWidth="1"/>
    <col min="14" max="16" width="12.57031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/>
      <c r="G1" s="1"/>
    </row>
    <row r="2" spans="1:29" x14ac:dyDescent="0.25">
      <c r="A2">
        <v>2025</v>
      </c>
      <c r="B2" t="s">
        <v>4</v>
      </c>
      <c r="C2" t="s">
        <v>5</v>
      </c>
      <c r="D2" s="2">
        <v>7.7777777777777777</v>
      </c>
    </row>
    <row r="3" spans="1:29" x14ac:dyDescent="0.25">
      <c r="A3">
        <v>2025</v>
      </c>
      <c r="B3" t="s">
        <v>4</v>
      </c>
      <c r="C3" t="s">
        <v>6</v>
      </c>
      <c r="D3" s="2">
        <v>2.67</v>
      </c>
    </row>
    <row r="4" spans="1:29" x14ac:dyDescent="0.25">
      <c r="A4">
        <v>2025</v>
      </c>
      <c r="B4" t="s">
        <v>4</v>
      </c>
      <c r="C4" t="s">
        <v>7</v>
      </c>
      <c r="D4" s="2">
        <v>3.6999999999999998E-2</v>
      </c>
    </row>
    <row r="5" spans="1:29" x14ac:dyDescent="0.25">
      <c r="A5">
        <v>2025</v>
      </c>
      <c r="B5" t="s">
        <v>4</v>
      </c>
      <c r="C5" t="s">
        <v>43</v>
      </c>
      <c r="D5" s="2">
        <v>1.1111111111111112</v>
      </c>
    </row>
    <row r="6" spans="1:29" x14ac:dyDescent="0.25">
      <c r="A6">
        <v>2025</v>
      </c>
      <c r="B6" t="s">
        <v>8</v>
      </c>
      <c r="C6" t="s">
        <v>5</v>
      </c>
      <c r="D6" s="2">
        <v>68.366</v>
      </c>
    </row>
    <row r="7" spans="1:29" x14ac:dyDescent="0.25">
      <c r="A7">
        <v>2025</v>
      </c>
      <c r="B7" t="s">
        <v>8</v>
      </c>
      <c r="C7" t="s">
        <v>6</v>
      </c>
      <c r="D7" s="2">
        <v>192.197</v>
      </c>
    </row>
    <row r="8" spans="1:29" x14ac:dyDescent="0.25">
      <c r="A8">
        <v>2025</v>
      </c>
      <c r="B8" t="s">
        <v>8</v>
      </c>
      <c r="C8" t="s">
        <v>7</v>
      </c>
      <c r="D8" s="2">
        <v>346.64400000000001</v>
      </c>
    </row>
    <row r="9" spans="1:29" x14ac:dyDescent="0.25">
      <c r="A9">
        <v>2025</v>
      </c>
      <c r="B9" t="s">
        <v>32</v>
      </c>
      <c r="C9" t="s">
        <v>43</v>
      </c>
      <c r="D9" s="2">
        <v>2.113</v>
      </c>
    </row>
    <row r="10" spans="1:29" ht="15.75" thickBot="1" x14ac:dyDescent="0.3">
      <c r="A10">
        <v>2025</v>
      </c>
      <c r="B10" t="s">
        <v>9</v>
      </c>
      <c r="C10" t="s">
        <v>5</v>
      </c>
      <c r="D10" s="2">
        <v>884.2259519758918</v>
      </c>
    </row>
    <row r="11" spans="1:29" x14ac:dyDescent="0.25">
      <c r="A11">
        <v>2025</v>
      </c>
      <c r="B11" t="s">
        <v>9</v>
      </c>
      <c r="C11" t="s">
        <v>6</v>
      </c>
      <c r="D11" s="2">
        <v>558.06230509013596</v>
      </c>
      <c r="L11" s="16">
        <v>2024</v>
      </c>
      <c r="M11" s="17"/>
      <c r="N11" s="17"/>
      <c r="O11" s="17"/>
      <c r="P11" s="18"/>
    </row>
    <row r="12" spans="1:29" x14ac:dyDescent="0.25">
      <c r="A12">
        <v>2025</v>
      </c>
      <c r="B12" t="s">
        <v>9</v>
      </c>
      <c r="C12" t="s">
        <v>7</v>
      </c>
      <c r="D12" s="2">
        <v>1140.4610599999999</v>
      </c>
      <c r="L12" s="19"/>
      <c r="M12" s="20" t="s">
        <v>8</v>
      </c>
      <c r="N12" s="20" t="s">
        <v>4</v>
      </c>
      <c r="O12" s="20" t="s">
        <v>11</v>
      </c>
      <c r="P12" s="21" t="s">
        <v>9</v>
      </c>
    </row>
    <row r="13" spans="1:29" ht="15.75" thickBot="1" x14ac:dyDescent="0.3">
      <c r="A13">
        <v>2025</v>
      </c>
      <c r="B13" t="s">
        <v>9</v>
      </c>
      <c r="C13" t="s">
        <v>43</v>
      </c>
      <c r="D13" s="2">
        <v>37.147113297707328</v>
      </c>
      <c r="L13" s="22" t="s">
        <v>9</v>
      </c>
      <c r="M13" s="23">
        <f>SUM(AA19/AA22*100)</f>
        <v>2.1167829918699508</v>
      </c>
      <c r="N13" s="23">
        <f>SUM(AA18/AA22*100)</f>
        <v>25.343647299313304</v>
      </c>
      <c r="O13" s="23">
        <f>SUM(AA20/AA22*100)</f>
        <v>61.401023830500776</v>
      </c>
      <c r="P13" s="24">
        <f>SUM(AA21/AA22*100)</f>
        <v>11.138545878315968</v>
      </c>
    </row>
    <row r="14" spans="1:29" x14ac:dyDescent="0.25">
      <c r="A14">
        <v>2030</v>
      </c>
      <c r="B14" t="s">
        <v>4</v>
      </c>
      <c r="C14" t="s">
        <v>5</v>
      </c>
      <c r="D14" s="2">
        <v>5.9722222222222223</v>
      </c>
    </row>
    <row r="15" spans="1:29" ht="15.75" x14ac:dyDescent="0.25">
      <c r="A15">
        <v>2030</v>
      </c>
      <c r="B15" t="s">
        <v>4</v>
      </c>
      <c r="C15" t="s">
        <v>6</v>
      </c>
      <c r="D15" s="2">
        <v>2.14</v>
      </c>
      <c r="G15" t="s">
        <v>30</v>
      </c>
      <c r="H15" t="s">
        <v>29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9" x14ac:dyDescent="0.25">
      <c r="A16">
        <v>2030</v>
      </c>
      <c r="B16" t="s">
        <v>4</v>
      </c>
      <c r="C16" t="s">
        <v>7</v>
      </c>
      <c r="D16" s="2">
        <v>0</v>
      </c>
      <c r="H16" s="6" t="s">
        <v>17</v>
      </c>
      <c r="I16" s="27" t="s">
        <v>18</v>
      </c>
      <c r="J16" s="27" t="s">
        <v>19</v>
      </c>
      <c r="K16" s="27" t="s">
        <v>20</v>
      </c>
      <c r="L16" s="27" t="s">
        <v>19</v>
      </c>
      <c r="M16" s="27" t="s">
        <v>21</v>
      </c>
      <c r="N16" s="27" t="s">
        <v>19</v>
      </c>
      <c r="O16" s="27" t="s">
        <v>22</v>
      </c>
      <c r="P16" s="27" t="s">
        <v>19</v>
      </c>
      <c r="Q16" s="27" t="s">
        <v>23</v>
      </c>
      <c r="R16" s="27" t="s">
        <v>19</v>
      </c>
      <c r="S16" s="27" t="s">
        <v>24</v>
      </c>
      <c r="T16" s="27" t="s">
        <v>19</v>
      </c>
      <c r="U16" s="27" t="s">
        <v>25</v>
      </c>
      <c r="V16" s="27" t="s">
        <v>19</v>
      </c>
      <c r="W16" s="27" t="s">
        <v>26</v>
      </c>
      <c r="X16" s="27" t="s">
        <v>19</v>
      </c>
      <c r="Y16" s="27" t="s">
        <v>13</v>
      </c>
      <c r="Z16" s="27" t="s">
        <v>19</v>
      </c>
      <c r="AA16" s="27" t="s">
        <v>27</v>
      </c>
      <c r="AB16" s="27" t="s">
        <v>19</v>
      </c>
      <c r="AC16" s="5" t="s">
        <v>16</v>
      </c>
    </row>
    <row r="17" spans="1:37" x14ac:dyDescent="0.25">
      <c r="A17">
        <v>2030</v>
      </c>
      <c r="B17" t="s">
        <v>4</v>
      </c>
      <c r="C17" t="s">
        <v>43</v>
      </c>
      <c r="D17" s="2">
        <v>2.2222222222222223</v>
      </c>
      <c r="H17" s="7" t="s">
        <v>28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  <c r="T17" s="9" t="s">
        <v>19</v>
      </c>
      <c r="U17" s="9" t="s">
        <v>19</v>
      </c>
      <c r="V17" s="9" t="s">
        <v>19</v>
      </c>
      <c r="W17" s="9" t="s">
        <v>19</v>
      </c>
      <c r="X17" s="9" t="s">
        <v>19</v>
      </c>
      <c r="Y17" s="9" t="s">
        <v>19</v>
      </c>
      <c r="Z17" s="9" t="s">
        <v>19</v>
      </c>
      <c r="AA17" s="9" t="s">
        <v>19</v>
      </c>
      <c r="AB17" s="9" t="s">
        <v>19</v>
      </c>
      <c r="AC17" t="s">
        <v>15</v>
      </c>
    </row>
    <row r="18" spans="1:37" x14ac:dyDescent="0.25">
      <c r="A18">
        <v>2030</v>
      </c>
      <c r="B18" t="s">
        <v>8</v>
      </c>
      <c r="C18" t="s">
        <v>5</v>
      </c>
      <c r="D18" s="2">
        <v>83.808512640000004</v>
      </c>
      <c r="G18" t="s">
        <v>4</v>
      </c>
      <c r="H18" s="8" t="s">
        <v>29</v>
      </c>
      <c r="I18" s="11"/>
      <c r="J18" s="10" t="s">
        <v>19</v>
      </c>
      <c r="K18" s="11">
        <v>61838.913</v>
      </c>
      <c r="L18" s="10" t="s">
        <v>19</v>
      </c>
      <c r="M18" s="11">
        <v>58468.824999999997</v>
      </c>
      <c r="N18" s="10" t="s">
        <v>19</v>
      </c>
      <c r="O18" s="11">
        <v>53847.495999999999</v>
      </c>
      <c r="P18" s="10" t="s">
        <v>19</v>
      </c>
      <c r="Q18" s="11">
        <v>56872.286</v>
      </c>
      <c r="R18" s="10" t="s">
        <v>19</v>
      </c>
      <c r="S18" s="11">
        <v>69020.986999999994</v>
      </c>
      <c r="T18" s="10" t="s">
        <v>19</v>
      </c>
      <c r="U18" s="11">
        <v>59180.330999999998</v>
      </c>
      <c r="V18" s="10" t="s">
        <v>19</v>
      </c>
      <c r="W18" s="11">
        <v>70704.896999999997</v>
      </c>
      <c r="X18" s="10" t="s">
        <v>19</v>
      </c>
      <c r="Y18" s="11">
        <v>79803.563999999998</v>
      </c>
      <c r="Z18" s="10" t="s">
        <v>19</v>
      </c>
      <c r="AA18" s="11">
        <v>84683.183000000005</v>
      </c>
      <c r="AB18" s="10" t="s">
        <v>19</v>
      </c>
    </row>
    <row r="19" spans="1:37" x14ac:dyDescent="0.25">
      <c r="A19">
        <v>2030</v>
      </c>
      <c r="B19" t="s">
        <v>8</v>
      </c>
      <c r="C19" t="s">
        <v>6</v>
      </c>
      <c r="D19" s="2">
        <v>59.066884330000001</v>
      </c>
      <c r="G19" t="s">
        <v>8</v>
      </c>
      <c r="H19" s="8" t="s">
        <v>29</v>
      </c>
      <c r="I19" s="11"/>
      <c r="J19" s="10" t="s">
        <v>19</v>
      </c>
      <c r="K19" s="11">
        <v>10317.529</v>
      </c>
      <c r="L19" s="10" t="s">
        <v>19</v>
      </c>
      <c r="M19" s="11">
        <v>6291.0770000000002</v>
      </c>
      <c r="N19" s="10" t="s">
        <v>19</v>
      </c>
      <c r="O19" s="11">
        <v>5177.8819999999996</v>
      </c>
      <c r="P19" s="10" t="s">
        <v>19</v>
      </c>
      <c r="Q19" s="11">
        <v>6114.8639999999996</v>
      </c>
      <c r="R19" s="10" t="s">
        <v>19</v>
      </c>
      <c r="S19" s="11">
        <v>7267.3810000000003</v>
      </c>
      <c r="T19" s="10" t="s">
        <v>19</v>
      </c>
      <c r="U19" s="11">
        <v>5530.9070000000002</v>
      </c>
      <c r="V19" s="10" t="s">
        <v>19</v>
      </c>
      <c r="W19" s="11">
        <v>12529.002</v>
      </c>
      <c r="X19" s="10" t="s">
        <v>19</v>
      </c>
      <c r="Y19" s="11">
        <v>8816.634</v>
      </c>
      <c r="Z19" s="10" t="s">
        <v>19</v>
      </c>
      <c r="AA19" s="11">
        <v>7073.0119999999997</v>
      </c>
      <c r="AB19" s="10" t="s">
        <v>19</v>
      </c>
    </row>
    <row r="20" spans="1:37" x14ac:dyDescent="0.25">
      <c r="A20">
        <v>2030</v>
      </c>
      <c r="B20" t="s">
        <v>8</v>
      </c>
      <c r="C20" t="s">
        <v>7</v>
      </c>
      <c r="D20" s="2">
        <v>379.53249160000001</v>
      </c>
      <c r="G20" t="s">
        <v>11</v>
      </c>
      <c r="H20" s="8" t="s">
        <v>29</v>
      </c>
      <c r="I20" s="11"/>
      <c r="J20" s="11"/>
      <c r="K20" s="11">
        <f>SUM(K22-K18-K19-K21)</f>
        <v>213440.52000000002</v>
      </c>
      <c r="L20" s="11"/>
      <c r="M20" s="11">
        <f t="shared" ref="M20:AA20" si="0">SUM(M22-M18-M19-M21)</f>
        <v>253943.34299999999</v>
      </c>
      <c r="N20" s="11"/>
      <c r="O20" s="11">
        <f t="shared" si="0"/>
        <v>261637.30700000003</v>
      </c>
      <c r="P20" s="11"/>
      <c r="Q20" s="11">
        <f t="shared" si="0"/>
        <v>279537.35800000001</v>
      </c>
      <c r="R20" s="11"/>
      <c r="S20" s="11">
        <f t="shared" si="0"/>
        <v>267636.06799999997</v>
      </c>
      <c r="T20" s="11"/>
      <c r="U20" s="11">
        <f t="shared" si="0"/>
        <v>299514.33500000002</v>
      </c>
      <c r="V20" s="11"/>
      <c r="W20" s="11">
        <f t="shared" si="0"/>
        <v>232465.29900000003</v>
      </c>
      <c r="X20" s="11"/>
      <c r="Y20" s="11">
        <f t="shared" si="0"/>
        <v>204845.26699999999</v>
      </c>
      <c r="Z20" s="11"/>
      <c r="AA20" s="11">
        <f t="shared" si="0"/>
        <v>205165.18700000001</v>
      </c>
      <c r="AB20" s="11"/>
    </row>
    <row r="21" spans="1:37" x14ac:dyDescent="0.25">
      <c r="A21">
        <v>2030</v>
      </c>
      <c r="B21" t="s">
        <v>32</v>
      </c>
      <c r="C21" t="s">
        <v>43</v>
      </c>
      <c r="D21" s="2">
        <v>1.2689999999999999</v>
      </c>
      <c r="G21" t="s">
        <v>39</v>
      </c>
      <c r="H21" s="13" t="s">
        <v>29</v>
      </c>
      <c r="K21" s="15">
        <v>96315.582999999999</v>
      </c>
      <c r="L21" s="14" t="s">
        <v>19</v>
      </c>
      <c r="M21" s="15">
        <v>89057.441999999995</v>
      </c>
      <c r="N21" s="14" t="s">
        <v>19</v>
      </c>
      <c r="O21" s="15">
        <v>79053.244000000006</v>
      </c>
      <c r="P21" s="14" t="s">
        <v>19</v>
      </c>
      <c r="Q21" s="15">
        <v>69704.562999999995</v>
      </c>
      <c r="R21" s="14" t="s">
        <v>19</v>
      </c>
      <c r="S21" s="15">
        <v>55718.982000000004</v>
      </c>
      <c r="T21" s="14" t="s">
        <v>19</v>
      </c>
      <c r="U21" s="15">
        <v>51108.870999999999</v>
      </c>
      <c r="V21" s="14" t="s">
        <v>19</v>
      </c>
      <c r="W21" s="15">
        <v>46864.241999999998</v>
      </c>
      <c r="X21" s="14" t="s">
        <v>19</v>
      </c>
      <c r="Y21" s="15">
        <v>39122.800999999999</v>
      </c>
      <c r="Z21" s="14" t="s">
        <v>19</v>
      </c>
      <c r="AA21" s="15">
        <v>37218.302000000003</v>
      </c>
      <c r="AB21" s="14" t="s">
        <v>19</v>
      </c>
      <c r="AC21" s="14" t="s">
        <v>34</v>
      </c>
    </row>
    <row r="22" spans="1:37" ht="15.75" x14ac:dyDescent="0.25">
      <c r="A22">
        <v>2030</v>
      </c>
      <c r="B22" t="s">
        <v>9</v>
      </c>
      <c r="C22" t="s">
        <v>5</v>
      </c>
      <c r="D22" s="2">
        <v>690.22917789965027</v>
      </c>
      <c r="G22" t="s">
        <v>33</v>
      </c>
      <c r="H22" s="8" t="s">
        <v>29</v>
      </c>
      <c r="I22" s="11"/>
      <c r="J22" s="10" t="s">
        <v>19</v>
      </c>
      <c r="K22" s="11">
        <v>381912.54499999998</v>
      </c>
      <c r="L22" s="10" t="s">
        <v>19</v>
      </c>
      <c r="M22" s="11">
        <v>407760.68699999998</v>
      </c>
      <c r="N22" s="10" t="s">
        <v>19</v>
      </c>
      <c r="O22" s="11">
        <v>399715.929</v>
      </c>
      <c r="P22" s="10" t="s">
        <v>19</v>
      </c>
      <c r="Q22" s="11">
        <v>412229.071</v>
      </c>
      <c r="R22" s="10" t="s">
        <v>19</v>
      </c>
      <c r="S22" s="11">
        <v>399643.41800000001</v>
      </c>
      <c r="T22" s="10" t="s">
        <v>19</v>
      </c>
      <c r="U22" s="11">
        <v>415334.44400000002</v>
      </c>
      <c r="V22" s="10" t="s">
        <v>19</v>
      </c>
      <c r="W22" s="12">
        <v>362563.44</v>
      </c>
      <c r="X22" s="10" t="s">
        <v>19</v>
      </c>
      <c r="Y22" s="11">
        <v>332588.266</v>
      </c>
      <c r="Z22" s="10" t="s">
        <v>19</v>
      </c>
      <c r="AA22" s="11">
        <v>334139.68400000001</v>
      </c>
      <c r="AB22" s="4"/>
    </row>
    <row r="23" spans="1:37" ht="15.75" x14ac:dyDescent="0.25">
      <c r="A23">
        <v>2030</v>
      </c>
      <c r="B23" t="s">
        <v>9</v>
      </c>
      <c r="C23" t="s">
        <v>6</v>
      </c>
      <c r="D23" s="2">
        <v>466.82400000000001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37" ht="15.75" x14ac:dyDescent="0.25">
      <c r="A24">
        <v>2030</v>
      </c>
      <c r="B24" t="s">
        <v>9</v>
      </c>
      <c r="C24" t="s">
        <v>7</v>
      </c>
      <c r="D24" s="2">
        <v>653.05939000000001</v>
      </c>
      <c r="G24" s="5" t="s">
        <v>31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37" ht="15.75" x14ac:dyDescent="0.25">
      <c r="A25">
        <v>2030</v>
      </c>
      <c r="B25" t="s">
        <v>9</v>
      </c>
      <c r="C25" t="s">
        <v>43</v>
      </c>
      <c r="D25" s="2">
        <v>70.128610870803428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37" ht="16.5" thickBot="1" x14ac:dyDescent="0.3">
      <c r="A26" s="3">
        <v>2035</v>
      </c>
      <c r="B26" s="3" t="s">
        <v>4</v>
      </c>
      <c r="C26" s="3" t="s">
        <v>5</v>
      </c>
      <c r="D26" s="2">
        <v>4.166666666666667</v>
      </c>
      <c r="G26" t="s">
        <v>32</v>
      </c>
      <c r="H26" s="4" t="s">
        <v>35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37" ht="15.75" x14ac:dyDescent="0.25">
      <c r="A27" s="3">
        <v>2035</v>
      </c>
      <c r="B27" s="3" t="s">
        <v>4</v>
      </c>
      <c r="C27" s="3" t="s">
        <v>6</v>
      </c>
      <c r="D27" s="2">
        <v>1.6</v>
      </c>
      <c r="G27">
        <v>2025</v>
      </c>
      <c r="H27" s="4">
        <v>464</v>
      </c>
      <c r="I27" s="4"/>
      <c r="J27" s="4"/>
      <c r="K27" s="4"/>
      <c r="L27" s="16">
        <v>2025</v>
      </c>
      <c r="M27" s="17"/>
      <c r="N27" s="17"/>
      <c r="O27" s="17"/>
      <c r="P27" s="18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37" ht="15.75" x14ac:dyDescent="0.25">
      <c r="A28" s="3">
        <v>2035</v>
      </c>
      <c r="B28" s="3" t="s">
        <v>4</v>
      </c>
      <c r="C28" s="3" t="s">
        <v>7</v>
      </c>
      <c r="D28" s="2">
        <v>0</v>
      </c>
      <c r="G28" t="s">
        <v>4</v>
      </c>
      <c r="H28" s="4">
        <v>69</v>
      </c>
      <c r="I28" s="4" t="s">
        <v>36</v>
      </c>
      <c r="J28" s="4">
        <f>SUM(H27*H28/100)</f>
        <v>320.16000000000003</v>
      </c>
      <c r="K28" s="4"/>
      <c r="L28" s="19"/>
      <c r="M28" s="20" t="s">
        <v>9</v>
      </c>
      <c r="N28" s="20" t="s">
        <v>4</v>
      </c>
      <c r="O28" s="20" t="s">
        <v>11</v>
      </c>
      <c r="P28" s="21" t="s">
        <v>8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37" ht="16.5" thickBot="1" x14ac:dyDescent="0.3">
      <c r="A29" s="3">
        <v>2035</v>
      </c>
      <c r="B29" s="3" t="s">
        <v>4</v>
      </c>
      <c r="C29" s="3" t="s">
        <v>43</v>
      </c>
      <c r="D29" s="2">
        <v>3.333333333333333</v>
      </c>
      <c r="G29" t="s">
        <v>11</v>
      </c>
      <c r="H29">
        <v>31</v>
      </c>
      <c r="I29" t="s">
        <v>36</v>
      </c>
      <c r="J29" s="4">
        <f>SUM(H28*H29/100)</f>
        <v>21.39</v>
      </c>
      <c r="L29" s="22" t="s">
        <v>8</v>
      </c>
      <c r="M29" s="23">
        <v>0</v>
      </c>
      <c r="N29" s="23">
        <f>SUM(J28/(J28+J29+H33)*100)</f>
        <v>47.527645039034844</v>
      </c>
      <c r="O29" s="23">
        <f>SUM(J29/(J28+J29+H33)*100)</f>
        <v>3.1753383539010347</v>
      </c>
      <c r="P29" s="24">
        <f>SUM(H33/(J28+J29+H33)*100)</f>
        <v>49.297016607064123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37" ht="15.75" x14ac:dyDescent="0.25">
      <c r="A30" s="3">
        <v>2035</v>
      </c>
      <c r="B30" s="3" t="s">
        <v>8</v>
      </c>
      <c r="C30" s="3" t="s">
        <v>5</v>
      </c>
      <c r="D30" s="2">
        <v>49.879769289999999</v>
      </c>
      <c r="G30" t="s">
        <v>9</v>
      </c>
      <c r="H30" s="4">
        <v>0</v>
      </c>
      <c r="I30" t="s">
        <v>36</v>
      </c>
      <c r="J30" s="4">
        <f>SUM(H29*H30/100)</f>
        <v>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37" ht="15.75" x14ac:dyDescent="0.25">
      <c r="A31" s="3">
        <v>2035</v>
      </c>
      <c r="B31" s="3" t="s">
        <v>8</v>
      </c>
      <c r="C31" s="3" t="s">
        <v>6</v>
      </c>
      <c r="D31" s="2">
        <v>58.785076179999997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37" ht="15.75" x14ac:dyDescent="0.25">
      <c r="A32" s="3">
        <v>2035</v>
      </c>
      <c r="B32" s="3" t="s">
        <v>8</v>
      </c>
      <c r="C32" s="3" t="s">
        <v>7</v>
      </c>
      <c r="D32" s="2">
        <v>295.84986863</v>
      </c>
      <c r="G32" t="s">
        <v>38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ht="15.75" x14ac:dyDescent="0.25">
      <c r="A33" s="3">
        <v>2035</v>
      </c>
      <c r="B33" s="3" t="s">
        <v>32</v>
      </c>
      <c r="C33" s="3" t="s">
        <v>43</v>
      </c>
      <c r="D33" s="2">
        <v>1.958</v>
      </c>
      <c r="G33" t="s">
        <v>37</v>
      </c>
      <c r="H33" s="4">
        <v>332.07900000000001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ht="15.75" x14ac:dyDescent="0.25">
      <c r="A34" s="3">
        <v>2035</v>
      </c>
      <c r="B34" s="3" t="s">
        <v>9</v>
      </c>
      <c r="C34" s="3" t="s">
        <v>5</v>
      </c>
      <c r="D34" s="2">
        <v>515.07386619106285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ht="15.75" x14ac:dyDescent="0.25">
      <c r="A35" s="3">
        <v>2035</v>
      </c>
      <c r="B35" s="3" t="s">
        <v>9</v>
      </c>
      <c r="C35" s="3" t="s">
        <v>6</v>
      </c>
      <c r="D35" s="2">
        <v>328.39299999999997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 ht="15.75" x14ac:dyDescent="0.25">
      <c r="A36" s="3">
        <v>2035</v>
      </c>
      <c r="B36" s="3" t="s">
        <v>9</v>
      </c>
      <c r="C36" s="3" t="s">
        <v>7</v>
      </c>
      <c r="D36" s="2">
        <v>267.80401000000001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 ht="15.75" x14ac:dyDescent="0.25">
      <c r="A37" s="3">
        <v>2035</v>
      </c>
      <c r="B37" s="3" t="s">
        <v>9</v>
      </c>
      <c r="C37" s="3" t="s">
        <v>43</v>
      </c>
      <c r="D37" s="2">
        <v>69.453543160961488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 ht="15.75" x14ac:dyDescent="0.25">
      <c r="A38" s="3">
        <v>2040</v>
      </c>
      <c r="B38" s="3" t="s">
        <v>4</v>
      </c>
      <c r="C38" s="3" t="s">
        <v>5</v>
      </c>
      <c r="D38" s="2">
        <v>4.166666666666667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 ht="15.75" x14ac:dyDescent="0.25">
      <c r="A39" s="3">
        <v>2040</v>
      </c>
      <c r="B39" s="3" t="s">
        <v>4</v>
      </c>
      <c r="C39" s="3" t="s">
        <v>6</v>
      </c>
      <c r="D39" s="2">
        <v>1.07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 ht="15.75" x14ac:dyDescent="0.25">
      <c r="A40" s="3">
        <v>2040</v>
      </c>
      <c r="B40" s="3" t="s">
        <v>4</v>
      </c>
      <c r="C40" s="3" t="s">
        <v>7</v>
      </c>
      <c r="D40" s="2"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ht="15.75" x14ac:dyDescent="0.25">
      <c r="A41" s="3">
        <v>2040</v>
      </c>
      <c r="B41" s="3" t="s">
        <v>4</v>
      </c>
      <c r="C41" s="3" t="s">
        <v>43</v>
      </c>
      <c r="D41" s="2">
        <v>3.8888888888888888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ht="15.75" x14ac:dyDescent="0.25">
      <c r="A42" s="3">
        <v>2040</v>
      </c>
      <c r="B42" s="3" t="s">
        <v>8</v>
      </c>
      <c r="C42" s="3" t="s">
        <v>5</v>
      </c>
      <c r="D42" s="2">
        <v>26.076370439999998</v>
      </c>
      <c r="G42" t="s">
        <v>40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 ht="15.75" x14ac:dyDescent="0.25">
      <c r="A43" s="3">
        <v>2040</v>
      </c>
      <c r="B43" s="3" t="s">
        <v>8</v>
      </c>
      <c r="C43" s="3" t="s">
        <v>6</v>
      </c>
      <c r="D43" s="2">
        <v>98.919260380000011</v>
      </c>
      <c r="G43" t="s">
        <v>30</v>
      </c>
      <c r="H43" s="27" t="s">
        <v>18</v>
      </c>
      <c r="I43" s="27" t="s">
        <v>19</v>
      </c>
      <c r="J43" s="27" t="s">
        <v>20</v>
      </c>
      <c r="K43" s="27" t="s">
        <v>19</v>
      </c>
      <c r="L43" s="27" t="s">
        <v>21</v>
      </c>
      <c r="M43" s="27" t="s">
        <v>19</v>
      </c>
      <c r="N43" s="27" t="s">
        <v>22</v>
      </c>
      <c r="O43" s="27" t="s">
        <v>19</v>
      </c>
      <c r="P43" s="27" t="s">
        <v>23</v>
      </c>
      <c r="Q43" s="27" t="s">
        <v>19</v>
      </c>
      <c r="R43" s="27" t="s">
        <v>24</v>
      </c>
      <c r="S43" s="27" t="s">
        <v>19</v>
      </c>
      <c r="T43" s="27" t="s">
        <v>25</v>
      </c>
      <c r="U43" s="27" t="s">
        <v>19</v>
      </c>
      <c r="V43" s="27" t="s">
        <v>26</v>
      </c>
      <c r="W43" s="27" t="s">
        <v>19</v>
      </c>
      <c r="X43" s="27" t="s">
        <v>13</v>
      </c>
      <c r="Y43" s="27" t="s">
        <v>19</v>
      </c>
      <c r="Z43" s="27" t="s">
        <v>27</v>
      </c>
      <c r="AA43" s="27" t="s">
        <v>19</v>
      </c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ht="15.75" x14ac:dyDescent="0.25">
      <c r="A44" s="3">
        <v>2040</v>
      </c>
      <c r="B44" s="3" t="s">
        <v>8</v>
      </c>
      <c r="C44" s="3" t="s">
        <v>7</v>
      </c>
      <c r="D44" s="2">
        <v>164.07783562</v>
      </c>
      <c r="G44" s="13" t="s">
        <v>14</v>
      </c>
      <c r="H44" s="15">
        <v>6120.6890000000003</v>
      </c>
      <c r="I44" s="14" t="s">
        <v>19</v>
      </c>
      <c r="J44" s="15">
        <v>5301.6880000000001</v>
      </c>
      <c r="K44" s="14" t="s">
        <v>19</v>
      </c>
      <c r="L44" s="15">
        <v>6131.8760000000002</v>
      </c>
      <c r="M44" s="14" t="s">
        <v>19</v>
      </c>
      <c r="N44" s="15">
        <v>5467.2939999999999</v>
      </c>
      <c r="O44" s="14" t="s">
        <v>19</v>
      </c>
      <c r="P44" s="25">
        <v>5670.47</v>
      </c>
      <c r="Q44" s="14" t="s">
        <v>19</v>
      </c>
      <c r="R44" s="15">
        <v>5295.7740000000003</v>
      </c>
      <c r="S44" s="14" t="s">
        <v>19</v>
      </c>
      <c r="T44" s="15">
        <v>4958.723</v>
      </c>
      <c r="U44" s="14" t="s">
        <v>19</v>
      </c>
      <c r="V44" s="15">
        <v>5139.0770000000002</v>
      </c>
      <c r="W44" s="14" t="s">
        <v>19</v>
      </c>
      <c r="X44" s="15">
        <v>4733.6750000000002</v>
      </c>
      <c r="Y44" s="14" t="s">
        <v>19</v>
      </c>
      <c r="Z44" s="14" t="s">
        <v>34</v>
      </c>
      <c r="AA44" s="14" t="s">
        <v>19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ht="15.75" x14ac:dyDescent="0.25">
      <c r="A45" s="3">
        <v>2040</v>
      </c>
      <c r="B45" s="3" t="s">
        <v>32</v>
      </c>
      <c r="C45" s="3" t="s">
        <v>43</v>
      </c>
      <c r="D45" s="2">
        <v>2.1139770800000002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ht="15.75" x14ac:dyDescent="0.25">
      <c r="A46" s="3">
        <v>2040</v>
      </c>
      <c r="B46" s="3" t="s">
        <v>9</v>
      </c>
      <c r="C46" s="3" t="s">
        <v>5</v>
      </c>
      <c r="D46" s="2">
        <v>357.19630778995366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 ht="16.5" thickBot="1" x14ac:dyDescent="0.3">
      <c r="A47" s="3">
        <v>2040</v>
      </c>
      <c r="B47" s="3" t="s">
        <v>9</v>
      </c>
      <c r="C47" s="3" t="s">
        <v>6</v>
      </c>
      <c r="D47" s="2">
        <v>253.05099999999999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 ht="15.75" x14ac:dyDescent="0.25">
      <c r="A48" s="3">
        <v>2040</v>
      </c>
      <c r="B48" s="3" t="s">
        <v>9</v>
      </c>
      <c r="C48" s="3" t="s">
        <v>7</v>
      </c>
      <c r="D48" s="2">
        <v>77.386020000000002</v>
      </c>
      <c r="L48" s="16">
        <v>2024</v>
      </c>
      <c r="M48" s="17"/>
      <c r="N48" s="17"/>
      <c r="O48" s="17"/>
      <c r="P48" s="18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5.75" x14ac:dyDescent="0.25">
      <c r="A49" s="3">
        <v>2040</v>
      </c>
      <c r="B49" s="3" t="s">
        <v>9</v>
      </c>
      <c r="C49" s="3" t="s">
        <v>43</v>
      </c>
      <c r="D49" s="2">
        <v>42.180018557199688</v>
      </c>
      <c r="L49" s="19"/>
      <c r="M49" s="20" t="s">
        <v>8</v>
      </c>
      <c r="N49" s="20" t="s">
        <v>12</v>
      </c>
      <c r="O49" s="20" t="s">
        <v>11</v>
      </c>
      <c r="P49" s="21" t="s">
        <v>4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.75" thickBot="1" x14ac:dyDescent="0.3">
      <c r="A50" s="3">
        <v>2045</v>
      </c>
      <c r="B50" s="3" t="s">
        <v>4</v>
      </c>
      <c r="C50" s="3" t="s">
        <v>5</v>
      </c>
      <c r="D50" s="2">
        <v>4.166666666666667</v>
      </c>
      <c r="L50" s="22" t="s">
        <v>4</v>
      </c>
      <c r="M50" s="23"/>
      <c r="N50" s="23"/>
      <c r="O50" s="23"/>
      <c r="P50" s="24">
        <v>100</v>
      </c>
    </row>
    <row r="51" spans="1:28" x14ac:dyDescent="0.25">
      <c r="A51" s="3">
        <v>2045</v>
      </c>
      <c r="B51" s="3" t="s">
        <v>4</v>
      </c>
      <c r="C51" s="3" t="s">
        <v>6</v>
      </c>
      <c r="D51" s="2">
        <v>0.53</v>
      </c>
    </row>
    <row r="52" spans="1:28" x14ac:dyDescent="0.25">
      <c r="A52" s="3">
        <v>2045</v>
      </c>
      <c r="B52" s="3" t="s">
        <v>4</v>
      </c>
      <c r="C52" s="3" t="s">
        <v>7</v>
      </c>
      <c r="D52" s="2">
        <v>0</v>
      </c>
    </row>
    <row r="53" spans="1:28" x14ac:dyDescent="0.25">
      <c r="A53" s="3">
        <v>2045</v>
      </c>
      <c r="B53" s="3" t="s">
        <v>4</v>
      </c>
      <c r="C53" s="3" t="s">
        <v>43</v>
      </c>
      <c r="D53" s="2">
        <v>3.6111111111111112</v>
      </c>
    </row>
    <row r="54" spans="1:28" x14ac:dyDescent="0.25">
      <c r="A54" s="3">
        <v>2045</v>
      </c>
      <c r="B54" s="3" t="s">
        <v>8</v>
      </c>
      <c r="C54" s="3" t="s">
        <v>5</v>
      </c>
      <c r="D54" s="2">
        <v>17.885716299999999</v>
      </c>
    </row>
    <row r="55" spans="1:28" x14ac:dyDescent="0.25">
      <c r="A55" s="3">
        <v>2045</v>
      </c>
      <c r="B55" s="3" t="s">
        <v>8</v>
      </c>
      <c r="C55" s="3" t="s">
        <v>6</v>
      </c>
      <c r="D55" s="2">
        <v>105.58062756</v>
      </c>
    </row>
    <row r="56" spans="1:28" x14ac:dyDescent="0.25">
      <c r="A56" s="3">
        <v>2045</v>
      </c>
      <c r="B56" s="3" t="s">
        <v>8</v>
      </c>
      <c r="C56" s="3" t="s">
        <v>7</v>
      </c>
      <c r="D56" s="2">
        <v>61.909462040000001</v>
      </c>
    </row>
    <row r="57" spans="1:28" x14ac:dyDescent="0.25">
      <c r="A57" s="3">
        <v>2045</v>
      </c>
      <c r="B57" s="3" t="s">
        <v>32</v>
      </c>
      <c r="C57" s="3" t="s">
        <v>43</v>
      </c>
      <c r="D57" s="2">
        <v>1.2574564800000001</v>
      </c>
    </row>
    <row r="58" spans="1:28" x14ac:dyDescent="0.25">
      <c r="A58" s="3">
        <v>2045</v>
      </c>
      <c r="B58" s="3" t="s">
        <v>9</v>
      </c>
      <c r="C58" s="3" t="s">
        <v>5</v>
      </c>
      <c r="D58" s="2">
        <v>266.06230762395609</v>
      </c>
    </row>
    <row r="59" spans="1:28" x14ac:dyDescent="0.25">
      <c r="A59" s="3">
        <v>2045</v>
      </c>
      <c r="B59" s="3" t="s">
        <v>9</v>
      </c>
      <c r="C59" s="3" t="s">
        <v>6</v>
      </c>
      <c r="D59" s="2">
        <v>193.953</v>
      </c>
      <c r="E59" s="1"/>
    </row>
    <row r="60" spans="1:28" x14ac:dyDescent="0.25">
      <c r="A60" s="3">
        <v>2045</v>
      </c>
      <c r="B60" s="3" t="s">
        <v>9</v>
      </c>
      <c r="C60" s="3" t="s">
        <v>7</v>
      </c>
      <c r="D60" s="2">
        <v>90.713999999999999</v>
      </c>
      <c r="M60" s="2"/>
    </row>
    <row r="61" spans="1:28" x14ac:dyDescent="0.25">
      <c r="A61" s="3">
        <v>2045</v>
      </c>
      <c r="B61" s="3" t="s">
        <v>9</v>
      </c>
      <c r="C61" s="3" t="s">
        <v>43</v>
      </c>
      <c r="D61" s="2">
        <v>20.6226571890139</v>
      </c>
      <c r="M61" s="2"/>
    </row>
    <row r="62" spans="1:28" x14ac:dyDescent="0.25">
      <c r="A62" s="3">
        <v>2050</v>
      </c>
      <c r="B62" s="3" t="s">
        <v>4</v>
      </c>
      <c r="C62" s="3" t="s">
        <v>5</v>
      </c>
      <c r="D62" s="2">
        <v>4.166666666666667</v>
      </c>
      <c r="M62" s="2"/>
    </row>
    <row r="63" spans="1:28" x14ac:dyDescent="0.25">
      <c r="A63" s="3">
        <v>2050</v>
      </c>
      <c r="B63" s="3" t="s">
        <v>4</v>
      </c>
      <c r="C63" s="3" t="s">
        <v>6</v>
      </c>
      <c r="D63" s="2">
        <v>0</v>
      </c>
      <c r="M63" s="2"/>
    </row>
    <row r="64" spans="1:28" x14ac:dyDescent="0.25">
      <c r="A64" s="3">
        <v>2050</v>
      </c>
      <c r="B64" s="3" t="s">
        <v>4</v>
      </c>
      <c r="C64" s="3" t="s">
        <v>7</v>
      </c>
      <c r="D64" s="2">
        <v>0</v>
      </c>
      <c r="M64" s="2"/>
    </row>
    <row r="65" spans="1:13" x14ac:dyDescent="0.25">
      <c r="A65" s="3">
        <v>2050</v>
      </c>
      <c r="B65" s="3" t="s">
        <v>4</v>
      </c>
      <c r="C65" s="3" t="s">
        <v>43</v>
      </c>
      <c r="D65" s="2">
        <v>3.333333333333333</v>
      </c>
      <c r="M65" s="2"/>
    </row>
    <row r="66" spans="1:13" x14ac:dyDescent="0.25">
      <c r="A66" s="3">
        <v>2050</v>
      </c>
      <c r="B66" s="3" t="s">
        <v>8</v>
      </c>
      <c r="C66" s="3" t="s">
        <v>5</v>
      </c>
      <c r="D66" s="2">
        <v>11.13991081</v>
      </c>
      <c r="M66" s="2"/>
    </row>
    <row r="67" spans="1:13" x14ac:dyDescent="0.25">
      <c r="A67" s="3">
        <v>2050</v>
      </c>
      <c r="B67" s="3" t="s">
        <v>8</v>
      </c>
      <c r="C67" s="3" t="s">
        <v>6</v>
      </c>
      <c r="D67" s="2">
        <v>99.94406764</v>
      </c>
    </row>
    <row r="68" spans="1:13" x14ac:dyDescent="0.25">
      <c r="A68" s="3">
        <v>2050</v>
      </c>
      <c r="B68" s="3" t="s">
        <v>8</v>
      </c>
      <c r="C68" s="3" t="s">
        <v>7</v>
      </c>
      <c r="D68" s="2">
        <v>2.7959212000000004</v>
      </c>
    </row>
    <row r="69" spans="1:13" x14ac:dyDescent="0.25">
      <c r="A69" s="3">
        <v>2050</v>
      </c>
      <c r="B69" s="3" t="s">
        <v>32</v>
      </c>
      <c r="C69" s="3" t="s">
        <v>43</v>
      </c>
      <c r="D69" s="2">
        <v>0</v>
      </c>
    </row>
    <row r="70" spans="1:13" x14ac:dyDescent="0.25">
      <c r="A70" s="3">
        <v>2050</v>
      </c>
      <c r="B70" s="3" t="s">
        <v>9</v>
      </c>
      <c r="C70" s="3" t="s">
        <v>5</v>
      </c>
      <c r="D70" s="2">
        <v>258.9324278984883</v>
      </c>
    </row>
    <row r="71" spans="1:13" x14ac:dyDescent="0.25">
      <c r="A71" s="3">
        <v>2050</v>
      </c>
      <c r="B71" s="3" t="s">
        <v>9</v>
      </c>
      <c r="C71" s="3" t="s">
        <v>6</v>
      </c>
      <c r="D71" s="2">
        <v>184.482</v>
      </c>
    </row>
    <row r="72" spans="1:13" x14ac:dyDescent="0.25">
      <c r="A72" s="3">
        <v>2050</v>
      </c>
      <c r="B72" s="3" t="s">
        <v>9</v>
      </c>
      <c r="C72" s="3" t="s">
        <v>7</v>
      </c>
      <c r="D72" s="2">
        <v>91.923519999999996</v>
      </c>
    </row>
    <row r="73" spans="1:13" x14ac:dyDescent="0.25">
      <c r="A73" s="3">
        <v>2050</v>
      </c>
      <c r="B73" s="3" t="s">
        <v>9</v>
      </c>
      <c r="C73" s="3" t="s">
        <v>43</v>
      </c>
      <c r="D73" s="2">
        <v>12.692282541486639</v>
      </c>
    </row>
    <row r="74" spans="1:13" x14ac:dyDescent="0.25">
      <c r="A74" s="2"/>
    </row>
    <row r="75" spans="1:13" x14ac:dyDescent="0.25">
      <c r="A75" s="2"/>
    </row>
    <row r="76" spans="1:13" x14ac:dyDescent="0.25">
      <c r="A76" s="2"/>
    </row>
    <row r="77" spans="1:13" x14ac:dyDescent="0.25">
      <c r="A77" s="2"/>
    </row>
    <row r="78" spans="1:13" x14ac:dyDescent="0.25">
      <c r="A78" s="2"/>
    </row>
    <row r="79" spans="1:13" x14ac:dyDescent="0.25">
      <c r="A79" s="2"/>
    </row>
    <row r="80" spans="1:13" x14ac:dyDescent="0.25">
      <c r="A80" s="2"/>
    </row>
    <row r="81" spans="1:3" x14ac:dyDescent="0.25">
      <c r="A81" s="2"/>
    </row>
    <row r="82" spans="1:3" x14ac:dyDescent="0.25">
      <c r="A82" s="2"/>
    </row>
    <row r="83" spans="1:3" x14ac:dyDescent="0.25">
      <c r="A83" s="2"/>
    </row>
    <row r="84" spans="1:3" x14ac:dyDescent="0.25">
      <c r="A84" s="2"/>
    </row>
    <row r="85" spans="1:3" x14ac:dyDescent="0.25">
      <c r="A85" s="2"/>
    </row>
    <row r="86" spans="1:3" x14ac:dyDescent="0.25">
      <c r="A86" s="2"/>
    </row>
    <row r="87" spans="1:3" x14ac:dyDescent="0.25">
      <c r="A87" s="26"/>
      <c r="B87" s="3"/>
      <c r="C87" s="3"/>
    </row>
    <row r="88" spans="1:3" x14ac:dyDescent="0.25">
      <c r="A88" s="26"/>
      <c r="B88" s="3"/>
      <c r="C88" s="3"/>
    </row>
    <row r="89" spans="1:3" x14ac:dyDescent="0.25">
      <c r="A89" s="26"/>
      <c r="B89" s="3"/>
      <c r="C89" s="3"/>
    </row>
    <row r="90" spans="1:3" x14ac:dyDescent="0.25">
      <c r="A90" s="26"/>
      <c r="B90" s="3"/>
      <c r="C90" s="3"/>
    </row>
    <row r="91" spans="1:3" x14ac:dyDescent="0.25">
      <c r="A91" s="26"/>
      <c r="B91" s="3"/>
      <c r="C91" s="3"/>
    </row>
    <row r="92" spans="1:3" x14ac:dyDescent="0.25">
      <c r="A92" s="26"/>
      <c r="B92" s="3"/>
      <c r="C92" s="3"/>
    </row>
    <row r="93" spans="1:3" x14ac:dyDescent="0.25">
      <c r="A93" s="26"/>
    </row>
    <row r="94" spans="1:3" x14ac:dyDescent="0.25">
      <c r="A94" s="26"/>
    </row>
    <row r="95" spans="1:3" x14ac:dyDescent="0.25">
      <c r="A95" s="26"/>
    </row>
    <row r="96" spans="1:3" x14ac:dyDescent="0.25">
      <c r="A96" s="26"/>
      <c r="B96" s="3"/>
      <c r="C96" s="3"/>
    </row>
    <row r="97" spans="1:3" x14ac:dyDescent="0.25">
      <c r="A97" s="26"/>
      <c r="B97" s="3"/>
      <c r="C97" s="3"/>
    </row>
    <row r="98" spans="1:3" x14ac:dyDescent="0.25">
      <c r="A98" s="26"/>
      <c r="B98" s="3"/>
      <c r="C98" s="3"/>
    </row>
    <row r="99" spans="1:3" x14ac:dyDescent="0.25">
      <c r="A99" s="26"/>
      <c r="B99" s="3"/>
      <c r="C99" s="3"/>
    </row>
    <row r="100" spans="1:3" x14ac:dyDescent="0.25">
      <c r="A100" s="26"/>
      <c r="B100" s="3"/>
      <c r="C100" s="3"/>
    </row>
    <row r="101" spans="1:3" x14ac:dyDescent="0.25">
      <c r="A101" s="26"/>
      <c r="B101" s="3"/>
      <c r="C101" s="3"/>
    </row>
    <row r="102" spans="1:3" x14ac:dyDescent="0.25">
      <c r="A102" s="26"/>
    </row>
    <row r="103" spans="1:3" x14ac:dyDescent="0.25">
      <c r="A103" s="26"/>
    </row>
    <row r="104" spans="1:3" x14ac:dyDescent="0.25">
      <c r="A104" s="26"/>
    </row>
    <row r="105" spans="1:3" x14ac:dyDescent="0.25">
      <c r="A105" s="26"/>
      <c r="B105" s="3"/>
      <c r="C105" s="3"/>
    </row>
    <row r="106" spans="1:3" x14ac:dyDescent="0.25">
      <c r="A106" s="26"/>
      <c r="B106" s="3"/>
      <c r="C106" s="3"/>
    </row>
    <row r="107" spans="1:3" x14ac:dyDescent="0.25">
      <c r="A107" s="26"/>
      <c r="B107" s="3"/>
      <c r="C107" s="3"/>
    </row>
    <row r="108" spans="1:3" x14ac:dyDescent="0.25">
      <c r="A108" s="26"/>
      <c r="B108" s="3"/>
      <c r="C108" s="3"/>
    </row>
    <row r="109" spans="1:3" x14ac:dyDescent="0.25">
      <c r="A109" s="26"/>
      <c r="B109" s="3"/>
      <c r="C109" s="3"/>
    </row>
    <row r="110" spans="1:3" x14ac:dyDescent="0.25">
      <c r="A110" s="26"/>
      <c r="B110" s="3"/>
      <c r="C110" s="3"/>
    </row>
    <row r="111" spans="1:3" x14ac:dyDescent="0.25">
      <c r="A111" s="26"/>
    </row>
    <row r="112" spans="1:3" x14ac:dyDescent="0.25">
      <c r="A112" s="26"/>
    </row>
    <row r="113" spans="1:1" x14ac:dyDescent="0.25">
      <c r="A113" s="26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3" x14ac:dyDescent="0.25">
      <c r="A129" s="2"/>
    </row>
    <row r="130" spans="1:3" x14ac:dyDescent="0.25">
      <c r="A130" s="2"/>
    </row>
    <row r="131" spans="1:3" x14ac:dyDescent="0.25">
      <c r="A131" s="2"/>
    </row>
    <row r="132" spans="1:3" x14ac:dyDescent="0.25">
      <c r="A132" s="2"/>
    </row>
    <row r="133" spans="1:3" x14ac:dyDescent="0.25">
      <c r="A133" s="2"/>
    </row>
    <row r="134" spans="1:3" x14ac:dyDescent="0.25">
      <c r="A134" s="2"/>
    </row>
    <row r="135" spans="1:3" x14ac:dyDescent="0.25">
      <c r="A135" s="2"/>
    </row>
    <row r="136" spans="1:3" x14ac:dyDescent="0.25">
      <c r="A136" s="2"/>
    </row>
    <row r="137" spans="1:3" x14ac:dyDescent="0.25">
      <c r="A137" s="2"/>
    </row>
    <row r="138" spans="1:3" x14ac:dyDescent="0.25">
      <c r="A138" s="2"/>
    </row>
    <row r="139" spans="1:3" x14ac:dyDescent="0.25">
      <c r="A139" s="2"/>
    </row>
    <row r="140" spans="1:3" x14ac:dyDescent="0.25">
      <c r="A140" s="2"/>
    </row>
    <row r="141" spans="1:3" x14ac:dyDescent="0.25">
      <c r="A141" s="26"/>
      <c r="B141" s="3"/>
      <c r="C141" s="3"/>
    </row>
    <row r="142" spans="1:3" x14ac:dyDescent="0.25">
      <c r="A142" s="26"/>
      <c r="B142" s="3"/>
      <c r="C142" s="3"/>
    </row>
    <row r="143" spans="1:3" x14ac:dyDescent="0.25">
      <c r="A143" s="26"/>
      <c r="B143" s="3"/>
      <c r="C143" s="3"/>
    </row>
    <row r="144" spans="1:3" x14ac:dyDescent="0.25">
      <c r="A144" s="26"/>
      <c r="B144" s="3"/>
      <c r="C144" s="3"/>
    </row>
    <row r="145" spans="1:3" x14ac:dyDescent="0.25">
      <c r="A145" s="26"/>
      <c r="B145" s="3"/>
      <c r="C145" s="3"/>
    </row>
    <row r="146" spans="1:3" x14ac:dyDescent="0.25">
      <c r="A146" s="26"/>
      <c r="B146" s="3"/>
      <c r="C146" s="3"/>
    </row>
    <row r="147" spans="1:3" x14ac:dyDescent="0.25">
      <c r="A147" s="26"/>
    </row>
    <row r="148" spans="1:3" x14ac:dyDescent="0.25">
      <c r="A148" s="26"/>
    </row>
    <row r="149" spans="1:3" x14ac:dyDescent="0.25">
      <c r="A149" s="26"/>
    </row>
    <row r="150" spans="1:3" x14ac:dyDescent="0.25">
      <c r="A150" s="26"/>
      <c r="B150" s="3"/>
      <c r="C150" s="3"/>
    </row>
    <row r="151" spans="1:3" x14ac:dyDescent="0.25">
      <c r="A151" s="26"/>
      <c r="B151" s="3"/>
      <c r="C151" s="3"/>
    </row>
    <row r="152" spans="1:3" x14ac:dyDescent="0.25">
      <c r="A152" s="26"/>
      <c r="B152" s="3"/>
      <c r="C152" s="3"/>
    </row>
    <row r="153" spans="1:3" x14ac:dyDescent="0.25">
      <c r="A153" s="26"/>
      <c r="B153" s="3"/>
      <c r="C153" s="3"/>
    </row>
    <row r="154" spans="1:3" x14ac:dyDescent="0.25">
      <c r="A154" s="26"/>
      <c r="B154" s="3"/>
      <c r="C154" s="3"/>
    </row>
    <row r="155" spans="1:3" x14ac:dyDescent="0.25">
      <c r="A155" s="26"/>
      <c r="B155" s="3"/>
      <c r="C155" s="3"/>
    </row>
    <row r="156" spans="1:3" x14ac:dyDescent="0.25">
      <c r="A156" s="26"/>
    </row>
    <row r="157" spans="1:3" x14ac:dyDescent="0.25">
      <c r="A157" s="26"/>
    </row>
    <row r="158" spans="1:3" x14ac:dyDescent="0.25">
      <c r="A158" s="26"/>
    </row>
    <row r="159" spans="1:3" x14ac:dyDescent="0.25">
      <c r="A159" s="26"/>
      <c r="B159" s="3"/>
      <c r="C159" s="3"/>
    </row>
    <row r="160" spans="1:3" x14ac:dyDescent="0.25">
      <c r="A160" s="26"/>
      <c r="B160" s="3"/>
      <c r="C160" s="3"/>
    </row>
    <row r="161" spans="1:3" x14ac:dyDescent="0.25">
      <c r="A161" s="26"/>
      <c r="B161" s="3"/>
      <c r="C161" s="3"/>
    </row>
    <row r="162" spans="1:3" x14ac:dyDescent="0.25">
      <c r="A162" s="26"/>
      <c r="B162" s="3"/>
      <c r="C162" s="3"/>
    </row>
    <row r="163" spans="1:3" x14ac:dyDescent="0.25">
      <c r="A163" s="26"/>
      <c r="B163" s="3"/>
      <c r="C163" s="3"/>
    </row>
    <row r="164" spans="1:3" x14ac:dyDescent="0.25">
      <c r="A164" s="26"/>
      <c r="B164" s="3"/>
      <c r="C164" s="3"/>
    </row>
    <row r="165" spans="1:3" x14ac:dyDescent="0.25">
      <c r="A165" s="26"/>
    </row>
    <row r="166" spans="1:3" x14ac:dyDescent="0.25">
      <c r="A166" s="26"/>
    </row>
    <row r="167" spans="1:3" x14ac:dyDescent="0.25">
      <c r="A167" s="26"/>
    </row>
    <row r="168" spans="1:3" x14ac:dyDescent="0.25">
      <c r="A168" s="2"/>
    </row>
    <row r="169" spans="1:3" x14ac:dyDescent="0.25">
      <c r="A169" s="2"/>
    </row>
    <row r="170" spans="1:3" x14ac:dyDescent="0.25">
      <c r="A170" s="2"/>
    </row>
    <row r="171" spans="1:3" x14ac:dyDescent="0.25">
      <c r="A171" s="2"/>
    </row>
    <row r="172" spans="1:3" x14ac:dyDescent="0.25">
      <c r="A172" s="2"/>
    </row>
    <row r="173" spans="1:3" x14ac:dyDescent="0.25">
      <c r="A173" s="2"/>
    </row>
    <row r="174" spans="1:3" x14ac:dyDescent="0.25">
      <c r="A174" s="2"/>
    </row>
    <row r="175" spans="1:3" x14ac:dyDescent="0.25">
      <c r="A175" s="2"/>
    </row>
    <row r="176" spans="1:3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3" x14ac:dyDescent="0.25">
      <c r="A193" s="2"/>
    </row>
    <row r="194" spans="1:3" x14ac:dyDescent="0.25">
      <c r="A194" s="2"/>
    </row>
    <row r="195" spans="1:3" x14ac:dyDescent="0.25">
      <c r="A195" s="26"/>
      <c r="B195" s="3"/>
      <c r="C195" s="3"/>
    </row>
    <row r="196" spans="1:3" x14ac:dyDescent="0.25">
      <c r="A196" s="26"/>
      <c r="B196" s="3"/>
      <c r="C196" s="3"/>
    </row>
    <row r="197" spans="1:3" x14ac:dyDescent="0.25">
      <c r="A197" s="26"/>
      <c r="B197" s="3"/>
      <c r="C197" s="3"/>
    </row>
    <row r="198" spans="1:3" x14ac:dyDescent="0.25">
      <c r="A198" s="26"/>
      <c r="B198" s="3"/>
      <c r="C198" s="3"/>
    </row>
    <row r="199" spans="1:3" x14ac:dyDescent="0.25">
      <c r="A199" s="26"/>
      <c r="B199" s="3"/>
      <c r="C199" s="3"/>
    </row>
    <row r="200" spans="1:3" x14ac:dyDescent="0.25">
      <c r="A200" s="26"/>
      <c r="B200" s="3"/>
      <c r="C200" s="3"/>
    </row>
    <row r="201" spans="1:3" x14ac:dyDescent="0.25">
      <c r="A201" s="26"/>
    </row>
    <row r="202" spans="1:3" x14ac:dyDescent="0.25">
      <c r="A202" s="26"/>
    </row>
    <row r="203" spans="1:3" x14ac:dyDescent="0.25">
      <c r="A203" s="26"/>
    </row>
    <row r="204" spans="1:3" x14ac:dyDescent="0.25">
      <c r="A204" s="26"/>
      <c r="B204" s="3"/>
      <c r="C204" s="3"/>
    </row>
    <row r="205" spans="1:3" x14ac:dyDescent="0.25">
      <c r="A205" s="26"/>
      <c r="B205" s="3"/>
      <c r="C205" s="3"/>
    </row>
    <row r="206" spans="1:3" x14ac:dyDescent="0.25">
      <c r="A206" s="26"/>
      <c r="B206" s="3"/>
      <c r="C206" s="3"/>
    </row>
    <row r="207" spans="1:3" x14ac:dyDescent="0.25">
      <c r="A207" s="26"/>
      <c r="B207" s="3"/>
      <c r="C207" s="3"/>
    </row>
    <row r="208" spans="1:3" x14ac:dyDescent="0.25">
      <c r="A208" s="26"/>
      <c r="B208" s="3"/>
      <c r="C208" s="3"/>
    </row>
    <row r="209" spans="1:3" x14ac:dyDescent="0.25">
      <c r="A209" s="26"/>
      <c r="B209" s="3"/>
      <c r="C209" s="3"/>
    </row>
    <row r="210" spans="1:3" x14ac:dyDescent="0.25">
      <c r="A210" s="26"/>
    </row>
    <row r="211" spans="1:3" x14ac:dyDescent="0.25">
      <c r="A211" s="26"/>
    </row>
    <row r="212" spans="1:3" x14ac:dyDescent="0.25">
      <c r="A212" s="26"/>
    </row>
    <row r="213" spans="1:3" x14ac:dyDescent="0.25">
      <c r="A213" s="26"/>
      <c r="B213" s="3"/>
      <c r="C213" s="3"/>
    </row>
    <row r="214" spans="1:3" x14ac:dyDescent="0.25">
      <c r="A214" s="26"/>
      <c r="B214" s="3"/>
      <c r="C214" s="3"/>
    </row>
    <row r="215" spans="1:3" x14ac:dyDescent="0.25">
      <c r="A215" s="26"/>
      <c r="B215" s="3"/>
      <c r="C215" s="3"/>
    </row>
    <row r="216" spans="1:3" x14ac:dyDescent="0.25">
      <c r="A216" s="26"/>
      <c r="B216" s="3"/>
      <c r="C216" s="3"/>
    </row>
    <row r="217" spans="1:3" x14ac:dyDescent="0.25">
      <c r="A217" s="26"/>
      <c r="B217" s="3"/>
      <c r="C217" s="3"/>
    </row>
    <row r="218" spans="1:3" x14ac:dyDescent="0.25">
      <c r="A218" s="26"/>
      <c r="B218" s="3"/>
      <c r="C218" s="3"/>
    </row>
    <row r="219" spans="1:3" x14ac:dyDescent="0.25">
      <c r="A219" s="26"/>
    </row>
    <row r="220" spans="1:3" x14ac:dyDescent="0.25">
      <c r="A220" s="26"/>
    </row>
    <row r="221" spans="1:3" x14ac:dyDescent="0.25">
      <c r="A221" s="26"/>
    </row>
    <row r="222" spans="1:3" x14ac:dyDescent="0.25">
      <c r="A222" s="2"/>
    </row>
    <row r="223" spans="1:3" x14ac:dyDescent="0.25">
      <c r="A223" s="2"/>
    </row>
    <row r="224" spans="1:3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3" x14ac:dyDescent="0.25">
      <c r="A241" s="2"/>
    </row>
    <row r="242" spans="1:3" x14ac:dyDescent="0.25">
      <c r="A242" s="2"/>
    </row>
    <row r="243" spans="1:3" x14ac:dyDescent="0.25">
      <c r="A243" s="2"/>
    </row>
    <row r="244" spans="1:3" x14ac:dyDescent="0.25">
      <c r="A244" s="2"/>
    </row>
    <row r="245" spans="1:3" x14ac:dyDescent="0.25">
      <c r="A245" s="2"/>
    </row>
    <row r="246" spans="1:3" x14ac:dyDescent="0.25">
      <c r="A246" s="2"/>
    </row>
    <row r="247" spans="1:3" x14ac:dyDescent="0.25">
      <c r="A247" s="2"/>
    </row>
    <row r="248" spans="1:3" x14ac:dyDescent="0.25">
      <c r="A248" s="2"/>
    </row>
    <row r="249" spans="1:3" x14ac:dyDescent="0.25">
      <c r="A249" s="26"/>
      <c r="B249" s="3"/>
      <c r="C249" s="3"/>
    </row>
    <row r="250" spans="1:3" x14ac:dyDescent="0.25">
      <c r="A250" s="26"/>
      <c r="B250" s="3"/>
      <c r="C250" s="3"/>
    </row>
    <row r="251" spans="1:3" x14ac:dyDescent="0.25">
      <c r="A251" s="26"/>
      <c r="B251" s="3"/>
      <c r="C251" s="3"/>
    </row>
    <row r="252" spans="1:3" x14ac:dyDescent="0.25">
      <c r="A252" s="26"/>
      <c r="B252" s="3"/>
      <c r="C252" s="3"/>
    </row>
    <row r="253" spans="1:3" x14ac:dyDescent="0.25">
      <c r="A253" s="26"/>
      <c r="B253" s="3"/>
      <c r="C253" s="3"/>
    </row>
    <row r="254" spans="1:3" x14ac:dyDescent="0.25">
      <c r="A254" s="26"/>
      <c r="B254" s="3"/>
      <c r="C254" s="3"/>
    </row>
    <row r="255" spans="1:3" x14ac:dyDescent="0.25">
      <c r="A255" s="26"/>
    </row>
    <row r="256" spans="1:3" x14ac:dyDescent="0.25">
      <c r="A256" s="26"/>
    </row>
    <row r="257" spans="1:3" x14ac:dyDescent="0.25">
      <c r="A257" s="26"/>
    </row>
    <row r="258" spans="1:3" x14ac:dyDescent="0.25">
      <c r="A258" s="26"/>
      <c r="B258" s="3"/>
      <c r="C258" s="3"/>
    </row>
    <row r="259" spans="1:3" x14ac:dyDescent="0.25">
      <c r="A259" s="26"/>
      <c r="B259" s="3"/>
      <c r="C259" s="3"/>
    </row>
    <row r="260" spans="1:3" x14ac:dyDescent="0.25">
      <c r="A260" s="26"/>
      <c r="B260" s="3"/>
      <c r="C260" s="3"/>
    </row>
    <row r="261" spans="1:3" x14ac:dyDescent="0.25">
      <c r="A261" s="26"/>
      <c r="B261" s="3"/>
      <c r="C261" s="3"/>
    </row>
    <row r="262" spans="1:3" x14ac:dyDescent="0.25">
      <c r="A262" s="26"/>
      <c r="B262" s="3"/>
      <c r="C262" s="3"/>
    </row>
    <row r="263" spans="1:3" x14ac:dyDescent="0.25">
      <c r="A263" s="26"/>
      <c r="B263" s="3"/>
      <c r="C263" s="3"/>
    </row>
    <row r="264" spans="1:3" x14ac:dyDescent="0.25">
      <c r="A264" s="26"/>
    </row>
    <row r="265" spans="1:3" x14ac:dyDescent="0.25">
      <c r="A265" s="26"/>
    </row>
    <row r="266" spans="1:3" x14ac:dyDescent="0.25">
      <c r="A266" s="26"/>
    </row>
    <row r="267" spans="1:3" x14ac:dyDescent="0.25">
      <c r="A267" s="26"/>
      <c r="B267" s="3"/>
      <c r="C267" s="3"/>
    </row>
    <row r="268" spans="1:3" x14ac:dyDescent="0.25">
      <c r="A268" s="26"/>
      <c r="B268" s="3"/>
      <c r="C268" s="3"/>
    </row>
    <row r="269" spans="1:3" x14ac:dyDescent="0.25">
      <c r="A269" s="26"/>
      <c r="B269" s="3"/>
      <c r="C269" s="3"/>
    </row>
    <row r="270" spans="1:3" x14ac:dyDescent="0.25">
      <c r="A270" s="26"/>
      <c r="B270" s="3"/>
      <c r="C270" s="3"/>
    </row>
    <row r="271" spans="1:3" x14ac:dyDescent="0.25">
      <c r="A271" s="26"/>
      <c r="B271" s="3"/>
      <c r="C271" s="3"/>
    </row>
    <row r="272" spans="1:3" x14ac:dyDescent="0.25">
      <c r="A272" s="26"/>
      <c r="B272" s="3"/>
      <c r="C272" s="3"/>
    </row>
    <row r="273" spans="1:1" x14ac:dyDescent="0.25">
      <c r="A273" s="26"/>
    </row>
    <row r="274" spans="1:1" x14ac:dyDescent="0.25">
      <c r="A274" s="26"/>
    </row>
    <row r="275" spans="1:1" x14ac:dyDescent="0.25">
      <c r="A275" s="26"/>
    </row>
  </sheetData>
  <mergeCells count="20">
    <mergeCell ref="U16:V16"/>
    <mergeCell ref="W16:X16"/>
    <mergeCell ref="Y16:Z16"/>
    <mergeCell ref="AA16:AB16"/>
    <mergeCell ref="S16:T16"/>
    <mergeCell ref="I16:J16"/>
    <mergeCell ref="K16:L16"/>
    <mergeCell ref="M16:N16"/>
    <mergeCell ref="O16:P16"/>
    <mergeCell ref="Q16:R16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</mergeCells>
  <hyperlinks>
    <hyperlink ref="AC16" r:id="rId1" display="https://ec.europa.eu/eurostat/databrowser/view/nrg_ti_gas__custom_22733653/default/table" xr:uid="{F4C90636-140F-444F-88BC-1084AA326B6D}"/>
    <hyperlink ref="G24" r:id="rId2" display="https://assets.publishing.service.gov.uk/media/6a69f4232c4b5ba9d1242a67/DUKES_2026_Chapter_4.pdf" xr:uid="{44C759F2-DD83-4999-B594-A997005CAB1E}"/>
  </hyperlinks>
  <pageMargins left="0.7" right="0.7" top="0.78740157499999996" bottom="0.78740157499999996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AADC-16E5-4322-A027-AF430F4F8492}">
  <dimension ref="A1:D73"/>
  <sheetViews>
    <sheetView tabSelected="1" workbookViewId="0">
      <selection activeCell="P15" sqref="P15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41</v>
      </c>
      <c r="C1" s="1" t="s">
        <v>2</v>
      </c>
      <c r="D1" s="1" t="s">
        <v>3</v>
      </c>
    </row>
    <row r="2" spans="1:4" x14ac:dyDescent="0.25">
      <c r="A2">
        <v>2026</v>
      </c>
      <c r="B2" t="s">
        <v>4</v>
      </c>
      <c r="C2" t="s">
        <v>5</v>
      </c>
      <c r="D2" s="2">
        <v>7.7777777777777777</v>
      </c>
    </row>
    <row r="3" spans="1:4" x14ac:dyDescent="0.25">
      <c r="A3">
        <v>2026</v>
      </c>
      <c r="B3" t="s">
        <v>4</v>
      </c>
      <c r="C3" t="s">
        <v>6</v>
      </c>
      <c r="D3" s="2">
        <v>2.67</v>
      </c>
    </row>
    <row r="4" spans="1:4" x14ac:dyDescent="0.25">
      <c r="A4">
        <v>2026</v>
      </c>
      <c r="B4" t="s">
        <v>4</v>
      </c>
      <c r="C4" t="s">
        <v>7</v>
      </c>
      <c r="D4" s="2">
        <v>3.6999999999999998E-2</v>
      </c>
    </row>
    <row r="5" spans="1:4" x14ac:dyDescent="0.25">
      <c r="A5">
        <v>2026</v>
      </c>
      <c r="B5" t="s">
        <v>4</v>
      </c>
      <c r="C5" t="s">
        <v>43</v>
      </c>
      <c r="D5" s="2">
        <v>1.1111111111111112</v>
      </c>
    </row>
    <row r="6" spans="1:4" x14ac:dyDescent="0.25">
      <c r="A6">
        <v>2026</v>
      </c>
      <c r="B6" t="s">
        <v>8</v>
      </c>
      <c r="C6" t="s">
        <v>5</v>
      </c>
      <c r="D6" s="2">
        <v>68.366</v>
      </c>
    </row>
    <row r="7" spans="1:4" x14ac:dyDescent="0.25">
      <c r="A7">
        <v>2026</v>
      </c>
      <c r="B7" t="s">
        <v>8</v>
      </c>
      <c r="C7" t="s">
        <v>6</v>
      </c>
      <c r="D7" s="2">
        <v>192.197</v>
      </c>
    </row>
    <row r="8" spans="1:4" x14ac:dyDescent="0.25">
      <c r="A8">
        <v>2026</v>
      </c>
      <c r="B8" t="s">
        <v>8</v>
      </c>
      <c r="C8" t="s">
        <v>7</v>
      </c>
      <c r="D8" s="2">
        <v>346.64400000000001</v>
      </c>
    </row>
    <row r="9" spans="1:4" x14ac:dyDescent="0.25">
      <c r="A9">
        <v>2026</v>
      </c>
      <c r="B9" t="s">
        <v>8</v>
      </c>
      <c r="C9" t="s">
        <v>43</v>
      </c>
      <c r="D9" s="2">
        <v>2.113</v>
      </c>
    </row>
    <row r="10" spans="1:4" x14ac:dyDescent="0.25">
      <c r="A10">
        <v>2026</v>
      </c>
      <c r="B10" t="s">
        <v>9</v>
      </c>
      <c r="C10" t="s">
        <v>5</v>
      </c>
      <c r="D10" s="2">
        <v>884.2259519758918</v>
      </c>
    </row>
    <row r="11" spans="1:4" x14ac:dyDescent="0.25">
      <c r="A11">
        <v>2026</v>
      </c>
      <c r="B11" t="s">
        <v>9</v>
      </c>
      <c r="C11" t="s">
        <v>6</v>
      </c>
      <c r="D11" s="2">
        <v>558.06230509013596</v>
      </c>
    </row>
    <row r="12" spans="1:4" x14ac:dyDescent="0.25">
      <c r="A12">
        <v>2026</v>
      </c>
      <c r="B12" t="s">
        <v>9</v>
      </c>
      <c r="C12" t="s">
        <v>7</v>
      </c>
      <c r="D12" s="2">
        <v>1140.4610599999999</v>
      </c>
    </row>
    <row r="13" spans="1:4" x14ac:dyDescent="0.25">
      <c r="A13">
        <v>2026</v>
      </c>
      <c r="B13" t="s">
        <v>9</v>
      </c>
      <c r="C13" t="s">
        <v>43</v>
      </c>
      <c r="D13" s="2">
        <v>37.147113297707328</v>
      </c>
    </row>
    <row r="14" spans="1:4" x14ac:dyDescent="0.25">
      <c r="A14">
        <v>2030</v>
      </c>
      <c r="B14" t="s">
        <v>4</v>
      </c>
      <c r="C14" t="s">
        <v>5</v>
      </c>
      <c r="D14" s="2">
        <v>5.9722222222222223</v>
      </c>
    </row>
    <row r="15" spans="1:4" x14ac:dyDescent="0.25">
      <c r="A15">
        <v>2030</v>
      </c>
      <c r="B15" t="s">
        <v>4</v>
      </c>
      <c r="C15" t="s">
        <v>6</v>
      </c>
      <c r="D15" s="2">
        <v>2.14</v>
      </c>
    </row>
    <row r="16" spans="1:4" x14ac:dyDescent="0.25">
      <c r="A16">
        <v>2030</v>
      </c>
      <c r="B16" t="s">
        <v>4</v>
      </c>
      <c r="C16" t="s">
        <v>7</v>
      </c>
      <c r="D16" s="2">
        <v>0</v>
      </c>
    </row>
    <row r="17" spans="1:4" x14ac:dyDescent="0.25">
      <c r="A17">
        <v>2030</v>
      </c>
      <c r="B17" t="s">
        <v>4</v>
      </c>
      <c r="C17" t="s">
        <v>43</v>
      </c>
      <c r="D17" s="2">
        <v>2.2222222222222223</v>
      </c>
    </row>
    <row r="18" spans="1:4" x14ac:dyDescent="0.25">
      <c r="A18">
        <v>2030</v>
      </c>
      <c r="B18" t="s">
        <v>8</v>
      </c>
      <c r="C18" t="s">
        <v>5</v>
      </c>
      <c r="D18" s="2">
        <v>83.808512640000004</v>
      </c>
    </row>
    <row r="19" spans="1:4" x14ac:dyDescent="0.25">
      <c r="A19">
        <v>2030</v>
      </c>
      <c r="B19" t="s">
        <v>8</v>
      </c>
      <c r="C19" t="s">
        <v>6</v>
      </c>
      <c r="D19" s="2">
        <v>59.066884330000001</v>
      </c>
    </row>
    <row r="20" spans="1:4" x14ac:dyDescent="0.25">
      <c r="A20">
        <v>2030</v>
      </c>
      <c r="B20" t="s">
        <v>8</v>
      </c>
      <c r="C20" t="s">
        <v>7</v>
      </c>
      <c r="D20" s="2">
        <v>379.53249160000001</v>
      </c>
    </row>
    <row r="21" spans="1:4" x14ac:dyDescent="0.25">
      <c r="A21">
        <v>2030</v>
      </c>
      <c r="B21" t="s">
        <v>8</v>
      </c>
      <c r="C21" t="s">
        <v>43</v>
      </c>
      <c r="D21" s="2">
        <v>1.2689999999999999</v>
      </c>
    </row>
    <row r="22" spans="1:4" x14ac:dyDescent="0.25">
      <c r="A22">
        <v>2030</v>
      </c>
      <c r="B22" t="s">
        <v>9</v>
      </c>
      <c r="C22" t="s">
        <v>5</v>
      </c>
      <c r="D22" s="2">
        <v>690.22917789965027</v>
      </c>
    </row>
    <row r="23" spans="1:4" x14ac:dyDescent="0.25">
      <c r="A23">
        <v>2030</v>
      </c>
      <c r="B23" t="s">
        <v>9</v>
      </c>
      <c r="C23" t="s">
        <v>6</v>
      </c>
      <c r="D23" s="2">
        <v>466.82400000000001</v>
      </c>
    </row>
    <row r="24" spans="1:4" x14ac:dyDescent="0.25">
      <c r="A24">
        <v>2030</v>
      </c>
      <c r="B24" t="s">
        <v>9</v>
      </c>
      <c r="C24" t="s">
        <v>7</v>
      </c>
      <c r="D24" s="2">
        <v>653.05939000000001</v>
      </c>
    </row>
    <row r="25" spans="1:4" x14ac:dyDescent="0.25">
      <c r="A25">
        <v>2030</v>
      </c>
      <c r="B25" t="s">
        <v>9</v>
      </c>
      <c r="C25" t="s">
        <v>43</v>
      </c>
      <c r="D25" s="2">
        <v>70.128610870803428</v>
      </c>
    </row>
    <row r="26" spans="1:4" x14ac:dyDescent="0.25">
      <c r="A26" s="3">
        <v>2035</v>
      </c>
      <c r="B26" s="3" t="s">
        <v>4</v>
      </c>
      <c r="C26" s="3" t="s">
        <v>5</v>
      </c>
      <c r="D26" s="2">
        <v>4.166666666666667</v>
      </c>
    </row>
    <row r="27" spans="1:4" x14ac:dyDescent="0.25">
      <c r="A27" s="3">
        <v>2035</v>
      </c>
      <c r="B27" s="3" t="s">
        <v>4</v>
      </c>
      <c r="C27" s="3" t="s">
        <v>6</v>
      </c>
      <c r="D27" s="2">
        <v>1.6</v>
      </c>
    </row>
    <row r="28" spans="1:4" x14ac:dyDescent="0.25">
      <c r="A28" s="3">
        <v>2035</v>
      </c>
      <c r="B28" s="3" t="s">
        <v>4</v>
      </c>
      <c r="C28" s="3" t="s">
        <v>7</v>
      </c>
      <c r="D28" s="2">
        <v>0</v>
      </c>
    </row>
    <row r="29" spans="1:4" x14ac:dyDescent="0.25">
      <c r="A29" s="3">
        <v>2035</v>
      </c>
      <c r="B29" s="3" t="s">
        <v>4</v>
      </c>
      <c r="C29" s="3" t="s">
        <v>43</v>
      </c>
      <c r="D29" s="2">
        <v>3.333333333333333</v>
      </c>
    </row>
    <row r="30" spans="1:4" x14ac:dyDescent="0.25">
      <c r="A30" s="3">
        <v>2035</v>
      </c>
      <c r="B30" s="3" t="s">
        <v>8</v>
      </c>
      <c r="C30" s="3" t="s">
        <v>5</v>
      </c>
      <c r="D30" s="2">
        <v>49.879769289999999</v>
      </c>
    </row>
    <row r="31" spans="1:4" x14ac:dyDescent="0.25">
      <c r="A31" s="3">
        <v>2035</v>
      </c>
      <c r="B31" s="3" t="s">
        <v>8</v>
      </c>
      <c r="C31" s="3" t="s">
        <v>6</v>
      </c>
      <c r="D31" s="2">
        <v>58.785076179999997</v>
      </c>
    </row>
    <row r="32" spans="1:4" x14ac:dyDescent="0.25">
      <c r="A32" s="3">
        <v>2035</v>
      </c>
      <c r="B32" s="3" t="s">
        <v>8</v>
      </c>
      <c r="C32" s="3" t="s">
        <v>7</v>
      </c>
      <c r="D32" s="2">
        <v>295.84986863</v>
      </c>
    </row>
    <row r="33" spans="1:4" x14ac:dyDescent="0.25">
      <c r="A33" s="3">
        <v>2035</v>
      </c>
      <c r="B33" s="3" t="s">
        <v>8</v>
      </c>
      <c r="C33" s="3" t="s">
        <v>43</v>
      </c>
      <c r="D33" s="2">
        <v>1.958</v>
      </c>
    </row>
    <row r="34" spans="1:4" x14ac:dyDescent="0.25">
      <c r="A34" s="3">
        <v>2035</v>
      </c>
      <c r="B34" s="3" t="s">
        <v>9</v>
      </c>
      <c r="C34" s="3" t="s">
        <v>5</v>
      </c>
      <c r="D34" s="2">
        <v>515.07386619106285</v>
      </c>
    </row>
    <row r="35" spans="1:4" x14ac:dyDescent="0.25">
      <c r="A35" s="3">
        <v>2035</v>
      </c>
      <c r="B35" s="3" t="s">
        <v>9</v>
      </c>
      <c r="C35" s="3" t="s">
        <v>6</v>
      </c>
      <c r="D35" s="2">
        <v>328.39299999999997</v>
      </c>
    </row>
    <row r="36" spans="1:4" x14ac:dyDescent="0.25">
      <c r="A36" s="3">
        <v>2035</v>
      </c>
      <c r="B36" s="3" t="s">
        <v>9</v>
      </c>
      <c r="C36" s="3" t="s">
        <v>7</v>
      </c>
      <c r="D36" s="2">
        <v>267.80401000000001</v>
      </c>
    </row>
    <row r="37" spans="1:4" x14ac:dyDescent="0.25">
      <c r="A37" s="3">
        <v>2035</v>
      </c>
      <c r="B37" s="3" t="s">
        <v>9</v>
      </c>
      <c r="C37" s="3" t="s">
        <v>43</v>
      </c>
      <c r="D37" s="2">
        <v>69.453543160961488</v>
      </c>
    </row>
    <row r="38" spans="1:4" x14ac:dyDescent="0.25">
      <c r="A38" s="3">
        <v>2040</v>
      </c>
      <c r="B38" s="3" t="s">
        <v>4</v>
      </c>
      <c r="C38" s="3" t="s">
        <v>5</v>
      </c>
      <c r="D38" s="2">
        <v>4.166666666666667</v>
      </c>
    </row>
    <row r="39" spans="1:4" x14ac:dyDescent="0.25">
      <c r="A39" s="3">
        <v>2040</v>
      </c>
      <c r="B39" s="3" t="s">
        <v>4</v>
      </c>
      <c r="C39" s="3" t="s">
        <v>6</v>
      </c>
      <c r="D39" s="2">
        <v>1.07</v>
      </c>
    </row>
    <row r="40" spans="1:4" x14ac:dyDescent="0.25">
      <c r="A40" s="3">
        <v>2040</v>
      </c>
      <c r="B40" s="3" t="s">
        <v>4</v>
      </c>
      <c r="C40" s="3" t="s">
        <v>7</v>
      </c>
      <c r="D40" s="2">
        <v>0</v>
      </c>
    </row>
    <row r="41" spans="1:4" x14ac:dyDescent="0.25">
      <c r="A41" s="3">
        <v>2040</v>
      </c>
      <c r="B41" s="3" t="s">
        <v>4</v>
      </c>
      <c r="C41" s="3" t="s">
        <v>43</v>
      </c>
      <c r="D41" s="2">
        <v>3.8888888888888888</v>
      </c>
    </row>
    <row r="42" spans="1:4" x14ac:dyDescent="0.25">
      <c r="A42" s="3">
        <v>2040</v>
      </c>
      <c r="B42" s="3" t="s">
        <v>8</v>
      </c>
      <c r="C42" s="3" t="s">
        <v>5</v>
      </c>
      <c r="D42" s="2">
        <v>26.076370439999998</v>
      </c>
    </row>
    <row r="43" spans="1:4" x14ac:dyDescent="0.25">
      <c r="A43" s="3">
        <v>2040</v>
      </c>
      <c r="B43" s="3" t="s">
        <v>8</v>
      </c>
      <c r="C43" s="3" t="s">
        <v>6</v>
      </c>
      <c r="D43" s="2">
        <v>98.919260380000011</v>
      </c>
    </row>
    <row r="44" spans="1:4" x14ac:dyDescent="0.25">
      <c r="A44" s="3">
        <v>2040</v>
      </c>
      <c r="B44" s="3" t="s">
        <v>8</v>
      </c>
      <c r="C44" s="3" t="s">
        <v>7</v>
      </c>
      <c r="D44" s="2">
        <v>164.07783562</v>
      </c>
    </row>
    <row r="45" spans="1:4" x14ac:dyDescent="0.25">
      <c r="A45" s="3">
        <v>2040</v>
      </c>
      <c r="B45" s="3" t="s">
        <v>8</v>
      </c>
      <c r="C45" s="3" t="s">
        <v>43</v>
      </c>
      <c r="D45" s="2">
        <v>2.1139770800000002</v>
      </c>
    </row>
    <row r="46" spans="1:4" x14ac:dyDescent="0.25">
      <c r="A46" s="3">
        <v>2040</v>
      </c>
      <c r="B46" s="3" t="s">
        <v>9</v>
      </c>
      <c r="C46" s="3" t="s">
        <v>5</v>
      </c>
      <c r="D46" s="2">
        <v>357.19630778995366</v>
      </c>
    </row>
    <row r="47" spans="1:4" x14ac:dyDescent="0.25">
      <c r="A47" s="3">
        <v>2040</v>
      </c>
      <c r="B47" s="3" t="s">
        <v>9</v>
      </c>
      <c r="C47" s="3" t="s">
        <v>6</v>
      </c>
      <c r="D47" s="2">
        <v>253.05099999999999</v>
      </c>
    </row>
    <row r="48" spans="1:4" x14ac:dyDescent="0.25">
      <c r="A48" s="3">
        <v>2040</v>
      </c>
      <c r="B48" s="3" t="s">
        <v>9</v>
      </c>
      <c r="C48" s="3" t="s">
        <v>7</v>
      </c>
      <c r="D48" s="2">
        <v>77.386020000000002</v>
      </c>
    </row>
    <row r="49" spans="1:4" x14ac:dyDescent="0.25">
      <c r="A49" s="3">
        <v>2040</v>
      </c>
      <c r="B49" s="3" t="s">
        <v>9</v>
      </c>
      <c r="C49" s="3" t="s">
        <v>43</v>
      </c>
      <c r="D49" s="2">
        <v>42.180018557199688</v>
      </c>
    </row>
    <row r="50" spans="1:4" x14ac:dyDescent="0.25">
      <c r="A50" s="3">
        <v>2045</v>
      </c>
      <c r="B50" s="3" t="s">
        <v>4</v>
      </c>
      <c r="C50" s="3" t="s">
        <v>5</v>
      </c>
      <c r="D50" s="2">
        <v>4.166666666666667</v>
      </c>
    </row>
    <row r="51" spans="1:4" x14ac:dyDescent="0.25">
      <c r="A51" s="3">
        <v>2045</v>
      </c>
      <c r="B51" s="3" t="s">
        <v>4</v>
      </c>
      <c r="C51" s="3" t="s">
        <v>6</v>
      </c>
      <c r="D51" s="2">
        <v>0.53</v>
      </c>
    </row>
    <row r="52" spans="1:4" x14ac:dyDescent="0.25">
      <c r="A52" s="3">
        <v>2045</v>
      </c>
      <c r="B52" s="3" t="s">
        <v>4</v>
      </c>
      <c r="C52" s="3" t="s">
        <v>7</v>
      </c>
      <c r="D52" s="2">
        <v>0</v>
      </c>
    </row>
    <row r="53" spans="1:4" x14ac:dyDescent="0.25">
      <c r="A53" s="3">
        <v>2045</v>
      </c>
      <c r="B53" s="3" t="s">
        <v>4</v>
      </c>
      <c r="C53" s="3" t="s">
        <v>43</v>
      </c>
      <c r="D53" s="2">
        <v>3.6111111111111112</v>
      </c>
    </row>
    <row r="54" spans="1:4" x14ac:dyDescent="0.25">
      <c r="A54" s="3">
        <v>2045</v>
      </c>
      <c r="B54" s="3" t="s">
        <v>8</v>
      </c>
      <c r="C54" s="3" t="s">
        <v>5</v>
      </c>
      <c r="D54" s="2">
        <v>17.885716299999999</v>
      </c>
    </row>
    <row r="55" spans="1:4" x14ac:dyDescent="0.25">
      <c r="A55" s="3">
        <v>2045</v>
      </c>
      <c r="B55" s="3" t="s">
        <v>8</v>
      </c>
      <c r="C55" s="3" t="s">
        <v>6</v>
      </c>
      <c r="D55" s="2">
        <v>105.58062756</v>
      </c>
    </row>
    <row r="56" spans="1:4" x14ac:dyDescent="0.25">
      <c r="A56" s="3">
        <v>2045</v>
      </c>
      <c r="B56" s="3" t="s">
        <v>8</v>
      </c>
      <c r="C56" s="3" t="s">
        <v>7</v>
      </c>
      <c r="D56" s="2">
        <v>61.909462040000001</v>
      </c>
    </row>
    <row r="57" spans="1:4" x14ac:dyDescent="0.25">
      <c r="A57" s="3">
        <v>2045</v>
      </c>
      <c r="B57" s="3" t="s">
        <v>8</v>
      </c>
      <c r="C57" s="3" t="s">
        <v>43</v>
      </c>
      <c r="D57" s="2">
        <v>1.2574564800000001</v>
      </c>
    </row>
    <row r="58" spans="1:4" x14ac:dyDescent="0.25">
      <c r="A58" s="3">
        <v>2045</v>
      </c>
      <c r="B58" s="3" t="s">
        <v>9</v>
      </c>
      <c r="C58" s="3" t="s">
        <v>5</v>
      </c>
      <c r="D58" s="2">
        <v>266.06230762395609</v>
      </c>
    </row>
    <row r="59" spans="1:4" x14ac:dyDescent="0.25">
      <c r="A59" s="3">
        <v>2045</v>
      </c>
      <c r="B59" s="3" t="s">
        <v>9</v>
      </c>
      <c r="C59" s="3" t="s">
        <v>6</v>
      </c>
      <c r="D59" s="2">
        <v>193.953</v>
      </c>
    </row>
    <row r="60" spans="1:4" x14ac:dyDescent="0.25">
      <c r="A60" s="3">
        <v>2045</v>
      </c>
      <c r="B60" s="3" t="s">
        <v>9</v>
      </c>
      <c r="C60" s="3" t="s">
        <v>7</v>
      </c>
      <c r="D60" s="2">
        <v>90.713999999999999</v>
      </c>
    </row>
    <row r="61" spans="1:4" x14ac:dyDescent="0.25">
      <c r="A61" s="3">
        <v>2045</v>
      </c>
      <c r="B61" s="3" t="s">
        <v>9</v>
      </c>
      <c r="C61" s="3" t="s">
        <v>43</v>
      </c>
      <c r="D61" s="2">
        <v>20.6226571890139</v>
      </c>
    </row>
    <row r="62" spans="1:4" x14ac:dyDescent="0.25">
      <c r="A62" s="3">
        <v>2050</v>
      </c>
      <c r="B62" s="3" t="s">
        <v>4</v>
      </c>
      <c r="C62" s="3" t="s">
        <v>5</v>
      </c>
      <c r="D62" s="2">
        <v>4.166666666666667</v>
      </c>
    </row>
    <row r="63" spans="1:4" x14ac:dyDescent="0.25">
      <c r="A63" s="3">
        <v>2050</v>
      </c>
      <c r="B63" s="3" t="s">
        <v>4</v>
      </c>
      <c r="C63" s="3" t="s">
        <v>6</v>
      </c>
      <c r="D63" s="2">
        <v>0</v>
      </c>
    </row>
    <row r="64" spans="1:4" x14ac:dyDescent="0.25">
      <c r="A64" s="3">
        <v>2050</v>
      </c>
      <c r="B64" s="3" t="s">
        <v>4</v>
      </c>
      <c r="C64" s="3" t="s">
        <v>7</v>
      </c>
      <c r="D64" s="2">
        <v>0</v>
      </c>
    </row>
    <row r="65" spans="1:4" x14ac:dyDescent="0.25">
      <c r="A65" s="3">
        <v>2050</v>
      </c>
      <c r="B65" s="3" t="s">
        <v>4</v>
      </c>
      <c r="C65" s="3" t="s">
        <v>43</v>
      </c>
      <c r="D65" s="2">
        <v>3.333333333333333</v>
      </c>
    </row>
    <row r="66" spans="1:4" x14ac:dyDescent="0.25">
      <c r="A66" s="3">
        <v>2050</v>
      </c>
      <c r="B66" s="3" t="s">
        <v>8</v>
      </c>
      <c r="C66" s="3" t="s">
        <v>5</v>
      </c>
      <c r="D66" s="2">
        <v>11.13991081</v>
      </c>
    </row>
    <row r="67" spans="1:4" x14ac:dyDescent="0.25">
      <c r="A67" s="3">
        <v>2050</v>
      </c>
      <c r="B67" s="3" t="s">
        <v>8</v>
      </c>
      <c r="C67" s="3" t="s">
        <v>6</v>
      </c>
      <c r="D67" s="2">
        <v>99.94406764</v>
      </c>
    </row>
    <row r="68" spans="1:4" x14ac:dyDescent="0.25">
      <c r="A68" s="3">
        <v>2050</v>
      </c>
      <c r="B68" s="3" t="s">
        <v>8</v>
      </c>
      <c r="C68" s="3" t="s">
        <v>7</v>
      </c>
      <c r="D68" s="2">
        <v>2.7959212000000004</v>
      </c>
    </row>
    <row r="69" spans="1:4" x14ac:dyDescent="0.25">
      <c r="A69" s="3">
        <v>2050</v>
      </c>
      <c r="B69" s="3" t="s">
        <v>8</v>
      </c>
      <c r="C69" s="3" t="s">
        <v>43</v>
      </c>
      <c r="D69" s="2">
        <v>0</v>
      </c>
    </row>
    <row r="70" spans="1:4" x14ac:dyDescent="0.25">
      <c r="A70" s="3">
        <v>2050</v>
      </c>
      <c r="B70" s="3" t="s">
        <v>9</v>
      </c>
      <c r="C70" s="3" t="s">
        <v>5</v>
      </c>
      <c r="D70" s="2">
        <v>258.9324278984883</v>
      </c>
    </row>
    <row r="71" spans="1:4" x14ac:dyDescent="0.25">
      <c r="A71" s="3">
        <v>2050</v>
      </c>
      <c r="B71" s="3" t="s">
        <v>9</v>
      </c>
      <c r="C71" s="3" t="s">
        <v>6</v>
      </c>
      <c r="D71" s="2">
        <v>184.482</v>
      </c>
    </row>
    <row r="72" spans="1:4" x14ac:dyDescent="0.25">
      <c r="A72" s="3">
        <v>2050</v>
      </c>
      <c r="B72" s="3" t="s">
        <v>9</v>
      </c>
      <c r="C72" s="3" t="s">
        <v>7</v>
      </c>
      <c r="D72" s="2">
        <v>91.923519999999996</v>
      </c>
    </row>
    <row r="73" spans="1:4" x14ac:dyDescent="0.25">
      <c r="A73" s="3">
        <v>2050</v>
      </c>
      <c r="B73" s="3" t="s">
        <v>9</v>
      </c>
      <c r="C73" s="3" t="s">
        <v>43</v>
      </c>
      <c r="D73" s="2">
        <v>12.692282541486639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D2BB-A756-4A9B-8785-31A4551A20AA}">
  <dimension ref="A1:C8"/>
  <sheetViews>
    <sheetView workbookViewId="0">
      <selection activeCell="C8" sqref="C8"/>
    </sheetView>
  </sheetViews>
  <sheetFormatPr baseColWidth="10" defaultRowHeight="15" x14ac:dyDescent="0.25"/>
  <sheetData>
    <row r="1" spans="1:3" x14ac:dyDescent="0.25">
      <c r="A1" t="s">
        <v>41</v>
      </c>
      <c r="B1" t="s">
        <v>1</v>
      </c>
      <c r="C1" t="s">
        <v>42</v>
      </c>
    </row>
    <row r="2" spans="1:3" x14ac:dyDescent="0.25">
      <c r="A2" t="s">
        <v>8</v>
      </c>
      <c r="B2" t="s">
        <v>4</v>
      </c>
      <c r="C2">
        <v>0.47527645039034844</v>
      </c>
    </row>
    <row r="3" spans="1:3" x14ac:dyDescent="0.25">
      <c r="A3" t="s">
        <v>8</v>
      </c>
      <c r="B3" t="s">
        <v>9</v>
      </c>
      <c r="C3">
        <v>0</v>
      </c>
    </row>
    <row r="4" spans="1:3" x14ac:dyDescent="0.25">
      <c r="A4" t="s">
        <v>8</v>
      </c>
      <c r="B4" t="s">
        <v>8</v>
      </c>
      <c r="C4">
        <v>0.52472354960965151</v>
      </c>
    </row>
    <row r="5" spans="1:3" x14ac:dyDescent="0.25">
      <c r="A5" t="s">
        <v>9</v>
      </c>
      <c r="B5" t="s">
        <v>4</v>
      </c>
      <c r="C5">
        <v>0.25343647299313304</v>
      </c>
    </row>
    <row r="6" spans="1:3" x14ac:dyDescent="0.25">
      <c r="A6" t="s">
        <v>9</v>
      </c>
      <c r="B6" t="s">
        <v>9</v>
      </c>
      <c r="C6">
        <v>0.72539569708816742</v>
      </c>
    </row>
    <row r="7" spans="1:3" x14ac:dyDescent="0.25">
      <c r="A7" t="s">
        <v>9</v>
      </c>
      <c r="B7" t="s">
        <v>8</v>
      </c>
      <c r="C7">
        <v>2.1167829918699508E-2</v>
      </c>
    </row>
    <row r="8" spans="1:3" x14ac:dyDescent="0.25">
      <c r="A8" t="s">
        <v>4</v>
      </c>
      <c r="B8" t="s">
        <v>4</v>
      </c>
      <c r="C8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Tabelle1</vt:lpstr>
      <vt:lpstr>demand</vt:lpstr>
      <vt:lpstr>supply_share</vt:lpstr>
      <vt:lpstr>demand_table</vt:lpstr>
      <vt:lpstr>supply_share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Oitzinger, Maximilian</dc:creator>
  <cp:lastModifiedBy>Max Oitzinger</cp:lastModifiedBy>
  <dcterms:created xsi:type="dcterms:W3CDTF">2026-09-09T12:47:29Z</dcterms:created>
  <dcterms:modified xsi:type="dcterms:W3CDTF">2026-09-23T09:35:44Z</dcterms:modified>
</cp:coreProperties>
</file>