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11d695511771a1/Desktop/Repositories/scm_model/"/>
    </mc:Choice>
  </mc:AlternateContent>
  <xr:revisionPtr revIDLastSave="70" documentId="8_{A3679337-DBF4-4B45-8451-5F20D3AD3BC9}" xr6:coauthVersionLast="47" xr6:coauthVersionMax="47" xr10:uidLastSave="{0B0139F4-94F6-46ED-AF18-ED557A2449C1}"/>
  <bookViews>
    <workbookView xWindow="-28920" yWindow="5115" windowWidth="29040" windowHeight="17520" activeTab="4" xr2:uid="{3DE608A1-65F6-46F1-BD19-7F4640BD623D}"/>
  </bookViews>
  <sheets>
    <sheet name="Cover" sheetId="1" r:id="rId1"/>
    <sheet name="TimeSeries" sheetId="2" r:id="rId2"/>
    <sheet name="NG_use_by_sector " sheetId="11" r:id="rId3"/>
    <sheet name="economic_psc" sheetId="13" r:id="rId4"/>
    <sheet name="economic_storage" sheetId="14" r:id="rId5"/>
    <sheet name="carbon_transport" sheetId="6" r:id="rId6"/>
    <sheet name="tech_expansion_init_cap" sheetId="15" r:id="rId7"/>
    <sheet name="Annex - Papers to have a look a" sheetId="12" r:id="rId8"/>
    <sheet name="NG_flows" sheetId="10" r:id="rId9"/>
    <sheet name="NG_exports, imports,consumption" sheetId="18" r:id="rId10"/>
    <sheet name="Sinks_country" sheetId="5" r:id="rId11"/>
    <sheet name="Sinks_blocks_op, con, planned" sheetId="19" r:id="rId12"/>
    <sheet name="Sinks_blocks" sheetId="9" r:id="rId13"/>
    <sheet name="tech_expansion - max_abs" sheetId="16" r:id="rId14"/>
    <sheet name="tech_expansion - rel_inc" sheetId="17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9" l="1"/>
  <c r="E7" i="19"/>
  <c r="E6" i="19"/>
  <c r="E5" i="19"/>
  <c r="E4" i="19"/>
  <c r="E44" i="19"/>
  <c r="E43" i="19"/>
  <c r="E42" i="19"/>
  <c r="E39" i="19"/>
  <c r="E38" i="19"/>
  <c r="E37" i="19"/>
  <c r="E35" i="19"/>
  <c r="E33" i="19"/>
  <c r="E32" i="19"/>
  <c r="E31" i="19"/>
  <c r="E30" i="19"/>
  <c r="E29" i="19"/>
  <c r="E28" i="19"/>
  <c r="E27" i="19"/>
  <c r="E26" i="19"/>
  <c r="E25" i="19"/>
  <c r="E24" i="19"/>
  <c r="E23" i="19"/>
  <c r="E22" i="19"/>
  <c r="E21" i="19"/>
  <c r="E20" i="19"/>
  <c r="C33" i="18" l="1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D6" i="10"/>
  <c r="L4" i="14"/>
  <c r="J3" i="14"/>
  <c r="L3" i="14" s="1"/>
  <c r="J4" i="14"/>
  <c r="J5" i="14"/>
  <c r="L5" i="14" s="1"/>
  <c r="J6" i="14"/>
  <c r="L6" i="14" s="1"/>
  <c r="J7" i="14"/>
  <c r="L7" i="14" s="1"/>
  <c r="I3" i="14"/>
  <c r="K3" i="14" s="1"/>
  <c r="I5" i="14"/>
  <c r="K5" i="14" s="1"/>
  <c r="I6" i="14"/>
  <c r="K6" i="14" s="1"/>
  <c r="I7" i="14"/>
  <c r="K7" i="14" s="1"/>
  <c r="H3" i="14"/>
  <c r="H4" i="14"/>
  <c r="H5" i="14"/>
  <c r="H6" i="14"/>
  <c r="H7" i="14"/>
  <c r="G3" i="14"/>
  <c r="G4" i="14"/>
  <c r="I4" i="14" s="1"/>
  <c r="K4" i="14" s="1"/>
  <c r="G5" i="14"/>
  <c r="G6" i="14"/>
  <c r="G7" i="14"/>
  <c r="H2" i="14"/>
  <c r="J2" i="14" s="1"/>
  <c r="L2" i="14" s="1"/>
  <c r="G2" i="14"/>
  <c r="I2" i="14" s="1"/>
  <c r="K2" i="14" s="1"/>
  <c r="K4" i="13"/>
  <c r="L5" i="13"/>
  <c r="L4" i="13"/>
  <c r="L3" i="13"/>
  <c r="K5" i="13"/>
  <c r="K3" i="13"/>
  <c r="J5" i="13"/>
  <c r="J4" i="13"/>
  <c r="J3" i="13"/>
  <c r="I5" i="13"/>
  <c r="I4" i="13"/>
  <c r="I3" i="13"/>
  <c r="I6" i="13"/>
  <c r="F6" i="13"/>
  <c r="G6" i="13" s="1"/>
  <c r="L2" i="13"/>
  <c r="K2" i="13"/>
  <c r="J2" i="13"/>
  <c r="I2" i="13"/>
  <c r="L7" i="13"/>
  <c r="K7" i="13"/>
  <c r="J7" i="13"/>
  <c r="I7" i="13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1" i="2"/>
  <c r="H22" i="2"/>
  <c r="H23" i="2"/>
  <c r="H24" i="2"/>
  <c r="H25" i="2"/>
  <c r="H26" i="2"/>
  <c r="H2" i="2"/>
  <c r="D3" i="10"/>
  <c r="D2" i="10"/>
  <c r="D7" i="10"/>
  <c r="D47" i="11"/>
  <c r="D38" i="11"/>
  <c r="D29" i="11"/>
  <c r="D20" i="11"/>
  <c r="D11" i="11"/>
  <c r="D2" i="11"/>
  <c r="D3" i="11"/>
  <c r="D4" i="11"/>
  <c r="D51" i="11"/>
  <c r="D42" i="11"/>
  <c r="D33" i="11"/>
  <c r="D24" i="11"/>
  <c r="D15" i="11"/>
  <c r="D6" i="11"/>
  <c r="D50" i="11"/>
  <c r="D41" i="11"/>
  <c r="D32" i="11"/>
  <c r="D23" i="11"/>
  <c r="D14" i="11"/>
  <c r="D5" i="11"/>
  <c r="D52" i="11"/>
  <c r="D43" i="11"/>
  <c r="D34" i="11"/>
  <c r="D25" i="11"/>
  <c r="D16" i="11"/>
  <c r="D7" i="11"/>
  <c r="D55" i="11"/>
  <c r="D46" i="11"/>
  <c r="D37" i="11"/>
  <c r="D28" i="11"/>
  <c r="D19" i="11"/>
  <c r="D10" i="11"/>
  <c r="D54" i="11"/>
  <c r="D45" i="11"/>
  <c r="D36" i="11"/>
  <c r="D27" i="11"/>
  <c r="D18" i="11"/>
  <c r="D9" i="11"/>
  <c r="D53" i="11"/>
  <c r="D44" i="11"/>
  <c r="D35" i="11"/>
  <c r="D26" i="11"/>
  <c r="D17" i="11"/>
  <c r="D8" i="11"/>
  <c r="B26" i="2"/>
  <c r="B25" i="2"/>
  <c r="B24" i="2"/>
  <c r="B23" i="2"/>
  <c r="B22" i="2"/>
  <c r="B21" i="2"/>
  <c r="B20" i="2"/>
  <c r="B19" i="2"/>
  <c r="B16" i="2"/>
  <c r="B17" i="2"/>
  <c r="B18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J6" i="13" l="1"/>
  <c r="H6" i="13"/>
  <c r="L6" i="13" s="1"/>
  <c r="K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tc={09CFDE8D-BD81-7F41-B039-05765437F364}</author>
    <author>tc={1540D12B-C8C2-904D-913F-9E8872832A02}</author>
    <author>tc={B27FF0C8-B90C-1C47-991D-38DEB75E9813}</author>
    <author>tc={56BE32EB-F0E8-FA43-9A3C-C0FF57BC2393}</author>
    <author>tc={EDFF14A6-A51B-574A-A87A-8D0DF2CDED91}</author>
    <author>tc={42591256-ACFD-8547-9B1F-4D6267DCEC9F}</author>
    <author>tc={03192A3D-2973-1142-B9A3-5A1138C6B405}</author>
    <author>tc={4DEE6D7E-A249-B842-ACD7-FD53FAE4D6AC}</author>
    <author>tc={9B48A032-E388-6D4A-A69A-5B303D0D501E}</author>
    <author>tc={B4FC195B-2DB3-D94A-A70B-2D7B6806016F}</author>
    <author>tc={6769CA36-1C2C-F344-A79B-8D8D6E308A17}</author>
    <author>tc={4BFC0944-596A-BB41-89C9-593EE224C739}</author>
    <author>tc={2940C6B9-61A7-0349-A3F2-631D2A18A0CA}</author>
    <author>tc={4BB36E41-1BB5-4149-A3C5-DFBA0A3F5BC2}</author>
  </authors>
  <commentList>
    <comment ref="J1" authorId="0" shapeId="0" xr:uid="{09CFDE8D-BD81-7F41-B039-05765437F36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Assuming zero capture rate.</t>
      </text>
    </comment>
    <comment ref="K1" authorId="1" shapeId="0" xr:uid="{1540D12B-C8C2-904D-913F-9E8872832A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 think it would be smart to have three ETS scenarios low-middle-high</t>
      </text>
    </comment>
    <comment ref="M1" authorId="2" shapeId="0" xr:uid="{B27FF0C8-B90C-1C47-991D-38DEB75E981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These are guess-estimates based on Gunter et al 2026. </t>
      </text>
    </comment>
    <comment ref="K2" authorId="3" shapeId="0" xr:uid="{56BE32EB-F0E8-FA43-9A3C-C0FF57BC239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Same starting point with the average value for 2026. </t>
      </text>
    </comment>
    <comment ref="K14" authorId="4" shapeId="0" xr:uid="{EDFF14A6-A51B-574A-A87A-8D0DF2CDED91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From 2038, this data is projected by authors. </t>
      </text>
    </comment>
    <comment ref="K26" authorId="5" shapeId="0" xr:uid="{42591256-ACFD-8547-9B1F-4D6267DCEC9F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We assumed an end-point for ETS here to get to above 300 EUR </t>
      </text>
    </comment>
    <comment ref="B27" authorId="6" shapeId="0" xr:uid="{03192A3D-2973-1142-B9A3-5A1138C6B405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Stuart's upcoming paper?
Antwort:
    Right now, I have just assumed a starting point of 1% with a quadratic reaching 100% by 2050. 
f(t) = 1+a*t^2, with t=0 in 2026 and t=24 in 2050. Coefficient of a=0,1719. </t>
      </text>
    </comment>
    <comment ref="D27" authorId="7" shapeId="0" xr:uid="{4DEE6D7E-A249-B842-ACD7-FD53FAE4D6A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The JRC paper has average sectoral values in 2030 and 2050, with pathway assumptions on technology switching etc. This is just an attempt to show an approximate trajectory.  
Antwort:
    The same for other sectors</t>
      </text>
    </comment>
    <comment ref="E27" authorId="8" shapeId="0" xr:uid="{9B48A032-E388-6D4A-A69A-5B303D0D501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Similar process as with cement</t>
      </text>
    </comment>
    <comment ref="F27" authorId="9" shapeId="0" xr:uid="{B4FC195B-2DB3-D94A-A70B-2D7B6806016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Similar process as with cement</t>
      </text>
    </comment>
    <comment ref="G27" authorId="10" shapeId="0" xr:uid="{6769CA36-1C2C-F344-A79B-8D8D6E308A1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Similar process as with cement</t>
      </text>
    </comment>
    <comment ref="H27" authorId="11" shapeId="0" xr:uid="{4BFC0944-596A-BB41-89C9-593EE224C73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is gross gas capacities installed of which power plants equipped with CCS, presented as %</t>
      </text>
    </comment>
    <comment ref="I27" authorId="12" shapeId="0" xr:uid="{2940C6B9-61A7-0349-A3F2-631D2A18A0CA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Assuming zero capture rate. No reference needed. </t>
      </text>
    </comment>
    <comment ref="J27" authorId="13" shapeId="0" xr:uid="{4BB36E41-1BB5-4149-A3C5-DFBA0A3F5BC2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Assuming zero capture rate. No reference needed.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tc={2AEE1551-3741-9243-990A-B618AC9DEDC2}</author>
    <author>tc={3764D827-D364-9049-AF1E-B110D6CBD5E3}</author>
    <author>tc={E1F17D5E-FBF1-C540-9B15-B01A5B4B5BD4}</author>
    <author>tc={575B1790-B31D-074D-93E2-6D5B81012028}</author>
  </authors>
  <commentList>
    <comment ref="B1" authorId="0" shapeId="0" xr:uid="{2AEE1551-3741-9243-990A-B618AC9DEDC2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It makes no sense to break up costs based on EU27 v. UK v. NO, so either we aggregate together or we have to separate into much smaller juridictions/sub-regions with similar terrain, resources etc, climate. </t>
      </text>
    </comment>
    <comment ref="A6" authorId="1" shapeId="0" xr:uid="{3764D827-D364-9049-AF1E-B110D6CBD5E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Need to double check the capex numbers and find a better source</t>
      </text>
    </comment>
    <comment ref="A7" authorId="2" shapeId="0" xr:uid="{E1F17D5E-FBF1-C540-9B15-B01A5B4B5BD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Uses the same technology family JRC146193 assessed for waste-to-energy, in Table 7.</t>
      </text>
    </comment>
    <comment ref="A8" authorId="3" shapeId="0" xr:uid="{575B1790-B31D-074D-93E2-6D5B81012028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Let’s ignore DACCS and BECCS for now. TU Wien have said in their last response they are excluding a CDR function. We will just have to keep the model run to 2035 as mentioned before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tc={93D79498-FDE8-F84F-9A83-A11057221035}</author>
  </authors>
  <commentList>
    <comment ref="M8" authorId="0" shapeId="0" xr:uid="{93D79498-FDE8-F84F-9A83-A11057221035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We should try to find a newer data source as this is from 2011, but main insights are opex stay stable. 
Used the highest opex cost estimate in this table.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tc={977939EC-73DE-4CC0-AD0F-3A335A8D12EB}</author>
  </authors>
  <commentList>
    <comment ref="E1" authorId="0" shapeId="0" xr:uid="{977939EC-73DE-4CC0-AD0F-3A335A8D12E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Here we include anything that was already operational in 2025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tc={7D421E06-4934-844E-93A8-CD65782B31F0}</author>
  </authors>
  <commentList>
    <comment ref="D1" authorId="0" shapeId="0" xr:uid="{7D421E06-4934-844E-93A8-CD65782B31F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This all depends on which scenario we choose to use for projections.</t>
      </text>
    </comment>
  </commentList>
</comments>
</file>

<file path=xl/sharedStrings.xml><?xml version="1.0" encoding="utf-8"?>
<sst xmlns="http://schemas.openxmlformats.org/spreadsheetml/2006/main" count="1064" uniqueCount="382">
  <si>
    <t>Sheet</t>
  </si>
  <si>
    <t>Abr.</t>
  </si>
  <si>
    <t>Name</t>
  </si>
  <si>
    <t>Unit to be entered</t>
  </si>
  <si>
    <t>TimeSeries</t>
  </si>
  <si>
    <t>scm_quota</t>
  </si>
  <si>
    <t xml:space="preserve">geologically stored fraction - scm quota </t>
  </si>
  <si>
    <t>%/100</t>
  </si>
  <si>
    <t>ci_factor</t>
  </si>
  <si>
    <t>carbon intensity of natural gas</t>
  </si>
  <si>
    <t>rho_sectorx</t>
  </si>
  <si>
    <t>ets_xx</t>
  </si>
  <si>
    <t>ets price for scenario</t>
  </si>
  <si>
    <t>€/tCO2</t>
  </si>
  <si>
    <t>NG_flows</t>
  </si>
  <si>
    <t>region_i</t>
  </si>
  <si>
    <t>exporter of NG</t>
  </si>
  <si>
    <t>region_j</t>
  </si>
  <si>
    <t>sector_s</t>
  </si>
  <si>
    <t>Sector NG is used in importer country</t>
  </si>
  <si>
    <t>ng_volume</t>
  </si>
  <si>
    <t>volume of ng used</t>
  </si>
  <si>
    <t>TWh</t>
  </si>
  <si>
    <t>economic</t>
  </si>
  <si>
    <t>capex_2026</t>
  </si>
  <si>
    <t>capex cost for capture technology in region</t>
  </si>
  <si>
    <t>opex_2026</t>
  </si>
  <si>
    <t>opex cost for capture technology in region</t>
  </si>
  <si>
    <t>eff_2026</t>
  </si>
  <si>
    <t>capture efficiency of technology</t>
  </si>
  <si>
    <t>technology_k</t>
  </si>
  <si>
    <t xml:space="preserve">technology k </t>
  </si>
  <si>
    <t>sinks</t>
  </si>
  <si>
    <t>block_id</t>
  </si>
  <si>
    <t>identifier of carbon sink/block</t>
  </si>
  <si>
    <t>timedelay_td</t>
  </si>
  <si>
    <t>time to activate block</t>
  </si>
  <si>
    <t>years</t>
  </si>
  <si>
    <t>max_injection_yr</t>
  </si>
  <si>
    <t>maximum yearly injection into block</t>
  </si>
  <si>
    <t>tCO2/yr</t>
  </si>
  <si>
    <t>max_capacity</t>
  </si>
  <si>
    <t>Maximum Capacity of block</t>
  </si>
  <si>
    <t>sink_capex</t>
  </si>
  <si>
    <t>capex cost for sink</t>
  </si>
  <si>
    <t>sink_opex</t>
  </si>
  <si>
    <t>opex cost of sink</t>
  </si>
  <si>
    <t>carbon_transport</t>
  </si>
  <si>
    <t>opex_transport</t>
  </si>
  <si>
    <t>cost for transporting carbon from region i to region j</t>
  </si>
  <si>
    <t>tech_expansion</t>
  </si>
  <si>
    <t>init_cap</t>
  </si>
  <si>
    <t>preexisting capacity of tech in region i in sector s</t>
  </si>
  <si>
    <t>tCO2/year</t>
  </si>
  <si>
    <t>max_abs</t>
  </si>
  <si>
    <t>maximum yearly increase</t>
  </si>
  <si>
    <t>rel_inc</t>
  </si>
  <si>
    <t>relative increase rate of new cc capacity</t>
  </si>
  <si>
    <t>%</t>
  </si>
  <si>
    <t>Source Nr</t>
  </si>
  <si>
    <t>Source Link</t>
  </si>
  <si>
    <t>Notes</t>
  </si>
  <si>
    <t>year</t>
  </si>
  <si>
    <t>Source</t>
  </si>
  <si>
    <t>source</t>
  </si>
  <si>
    <t>NO</t>
  </si>
  <si>
    <t>EU27</t>
  </si>
  <si>
    <t>Industry</t>
  </si>
  <si>
    <t>Power</t>
  </si>
  <si>
    <t>Buildings</t>
  </si>
  <si>
    <t>UK</t>
  </si>
  <si>
    <t>region</t>
  </si>
  <si>
    <t>capex_2030</t>
  </si>
  <si>
    <t>capex_2040</t>
  </si>
  <si>
    <t>capex_2050</t>
  </si>
  <si>
    <t>opex_2030</t>
  </si>
  <si>
    <t>opex_2040</t>
  </si>
  <si>
    <t>opex_2050</t>
  </si>
  <si>
    <t>technlogy_k</t>
  </si>
  <si>
    <t>142.48 GtCO₂</t>
  </si>
  <si>
    <t>70.00 GtCO₂</t>
  </si>
  <si>
    <t>I wonder if we should use the planned capacity + the Art23 target for up to 2030 and onwards: 0.019 GtCO₂/yr / 0.050  GtCO₂/yr. Article here: https://climate.ec.europa.eu/news-other-reads/news/eu-makes-good-progress-towards-its-2030-co2-injection-target-2026-05-28_en</t>
  </si>
  <si>
    <t>0.025 - 0.035 GtCO₂/yr in 2030 if all projects with permits are realised. Maybe we can scale up to 0.030 in 2030 and then to 0.035 onwards? Source: https://www.sodir.no/aktuelt/publikasjoner/rapporter/sokkelaret/sokkelaret-2023/tall-og-fakta/</t>
  </si>
  <si>
    <t>Maybe we sum up Endurance and Eni since these are the confirmed projects in the UK? Endurance: 0.004 GtCO₂/year from 2028. https://northernendurancepartnership.co.uk/2024/12/10/northern-endurance-partnership-greenlights-uks-first-co2-transportation-and-storage-infrastructure-project/;  0.0045 GtCO₂/year from 2028. https://www.gov.uk/government/publications/north-sea-transition-authority-oil-and-gas-authority-review-2025/north-sea-transition-authority-oil-and-gas-authority-review-2025-accessible-webpage</t>
  </si>
  <si>
    <t xml:space="preserve">Max capacity source: Sum of low theoretical geological CO₂ storage capacity estimates for the 25 EU-27 member states represented in GENeSYS-MOD/CATF. https://github.com/GENeSYS-MOD/GENeSYS_MOD.data/blob/main/Data/Parameters/Par_RegionalCCSLimit/Par_RegionalCCSLimit.csv ; https://www.catf.us/resource/unlocking-europes-co2-storage-potential-analysis-optimal-co2-storage-europe/ </t>
  </si>
  <si>
    <t xml:space="preserve">Max capacity source: Sum of low theoretical geological CO₂ storage capacity estimates for the 25 EU-27 member states represented in GENeSYS-MOD/CATF; Cyprus and Malta are not included in the source dataset. https://github.com/GENeSYS-MOD/GENeSYS_MOD.data/blob/main/Data/Parameters/Par_RegionalCCSLimit/Par_RegionalCCSLimit.csv ; https://www.catf.us/resource/unlocking-europes-co2-storage-potential-analysis-optimal-co2-storage-europe/ </t>
  </si>
  <si>
    <t>MtCO2/TWh</t>
  </si>
  <si>
    <t>https://ourworldindata.org/grapher/carbon-dioxide-emissions-factor#sources-and-processing</t>
  </si>
  <si>
    <t xml:space="preserve">maximum deployement of point source tech in sector </t>
  </si>
  <si>
    <t>maximum deployment of point source tech in sector "X"</t>
  </si>
  <si>
    <t>GtCO2</t>
  </si>
  <si>
    <t>Sognefjord-Delta-East_Aquifer</t>
  </si>
  <si>
    <t>Statfjord-Gp-East_Aquifer</t>
  </si>
  <si>
    <t>Johansen-Cook_Aquifer</t>
  </si>
  <si>
    <t>Fiskebank_Aquifer</t>
  </si>
  <si>
    <t>Garn-Ile_Aquifer</t>
  </si>
  <si>
    <t>Tilje-Åre_Aquifer</t>
  </si>
  <si>
    <t>i</t>
  </si>
  <si>
    <t>Utsira-Skade_Formations</t>
  </si>
  <si>
    <t>Bryne-Sandnes-southern_Formations</t>
  </si>
  <si>
    <t>Gassum_Formation</t>
  </si>
  <si>
    <t>Farsund_Basin</t>
  </si>
  <si>
    <t>Bjarneland_Aquifers</t>
  </si>
  <si>
    <t>Hammerfest_Basin</t>
  </si>
  <si>
    <t>North Sea_Prospects</t>
  </si>
  <si>
    <t>Norwegian Sea_Prospects</t>
  </si>
  <si>
    <t>Barents Sea_Prospects</t>
  </si>
  <si>
    <t>North Sea_Abondoned</t>
  </si>
  <si>
    <t>Norwegian Sea_Producing field 2050</t>
  </si>
  <si>
    <t>Barents Sea_Producing field 2050</t>
  </si>
  <si>
    <t>North Sea_Troll Aquifer_Producing field 2050</t>
  </si>
  <si>
    <t>North Sea 2050_Producing field 2050</t>
  </si>
  <si>
    <t>https://www.sodir.no/49056b/contentassets/32fc9b9a1f01475b9c278370285bbce7/chapter-7.pdf</t>
  </si>
  <si>
    <t>EU</t>
  </si>
  <si>
    <t>https://data.jrc.ec.europa.eu/dataset/1d9562ad-b342-498c-b34e-50ac04b00ded</t>
  </si>
  <si>
    <t>includes LPG and natural gas blend</t>
  </si>
  <si>
    <t>Comment</t>
  </si>
  <si>
    <t>Residential and service sector, converted from ktoe to TWh</t>
  </si>
  <si>
    <t>https://www.neso.energy/data-portal/fes-natural-gas-residential-and-non-domestic-i-c-heat-demand-summary-data-table-ed3/_natural_gas_demand_summary_ed3_2025</t>
  </si>
  <si>
    <t>All industries, converted from ktoe to TWh</t>
  </si>
  <si>
    <t>Includes by fuel natural gas &amp; biogas, derived gas,refinery gas</t>
  </si>
  <si>
    <t>Total end use residential gas and commercial sector natural gas demand, converted from GWh to TWh, using the pathway Holistic Transition</t>
  </si>
  <si>
    <t>Total gas demand for electricity generation, converted from GWh to TWh</t>
  </si>
  <si>
    <t>Annual end-use gas demand from industry, converted from GWh to TWh</t>
  </si>
  <si>
    <t>https://www.ssb.no/en/energi-og-industri/energi/statistikk/produksjon-og-forbruk-av-energi-energibalanse-og-energiregnskap</t>
  </si>
  <si>
    <t>Including LPG, natural gas, converted from GWh to TWh</t>
  </si>
  <si>
    <t>https://cms.skiftnorge.no/assets/DNV_ET_Norway_2025_A4_launch.pdf</t>
  </si>
  <si>
    <t>N/A</t>
  </si>
  <si>
    <t>The energy use in buildings is neglible in 2025, and will continue to stay at these levels or close to zero</t>
  </si>
  <si>
    <t>Manufacturing including non-energy use, converted from PJ to TWh</t>
  </si>
  <si>
    <t xml:space="preserve">Difficult to find demand projections, but there is clear indications that the manufacturing/industry emissions will stabilise around 15 PJ around 2030. Here I have just assumed a half-way point between 28 and 15 PJ. </t>
  </si>
  <si>
    <t>10 PJ in 2024, and given the literature states steady decline I've used a linear projection until 2050 (= 0). Converted from PJ to TWh</t>
  </si>
  <si>
    <t>https://publications.jrc.ec.europa.eu/repository/handle/JRC143300</t>
  </si>
  <si>
    <t>https://www.sciencedirect.com/science/article/pii/S0360544223005017</t>
  </si>
  <si>
    <t>https://www.sciencedirect.com/science/article/pii/S0360544226016944</t>
  </si>
  <si>
    <t>PSC, cement</t>
  </si>
  <si>
    <t>PSC, refining</t>
  </si>
  <si>
    <t>capex_2025</t>
  </si>
  <si>
    <t>opex_2025</t>
  </si>
  <si>
    <t>PSC, bioenergy</t>
  </si>
  <si>
    <t>.</t>
  </si>
  <si>
    <t>All</t>
  </si>
  <si>
    <t>Offshore, saline acquifers</t>
  </si>
  <si>
    <t>https://op.europa.eu/en/publication-detail/-/publication/e8b64ba3-c74f-11f0-8da2-01aa75ed71a1</t>
  </si>
  <si>
    <t>https://www.sciencedirect.com/science/article/pii/S2772656825001654</t>
  </si>
  <si>
    <t>https://www.deloitte.com/de/de/what-we-do/capabilities/sustainability-climate-dsc/natural-gas-demand-outlook-to-2050.html</t>
  </si>
  <si>
    <t>https://www.econstor.eu/handle/10419/253278</t>
  </si>
  <si>
    <t>https://ieefa.org/eu-gas-flows-tracker</t>
  </si>
  <si>
    <t>https://www.gov.uk/government/statistics/gas-section-4-energy-trends</t>
  </si>
  <si>
    <t>Number reflects 69% of total imports, converted from GWh to TWh</t>
  </si>
  <si>
    <t xml:space="preserve">Belgium and Netherlands, converted from GWh to TWh </t>
  </si>
  <si>
    <t>eff_low</t>
  </si>
  <si>
    <t>eff_high</t>
  </si>
  <si>
    <t>https://publications.jrc.ec.europa.eu/repository/handle/JRC146193</t>
  </si>
  <si>
    <t>ets_low</t>
  </si>
  <si>
    <t>ets_middle</t>
  </si>
  <si>
    <t>ets_high</t>
  </si>
  <si>
    <t>Zhang et al 2025</t>
  </si>
  <si>
    <t>https://www.sciencedirect.com/science/article/pii/S175058361500256X</t>
  </si>
  <si>
    <t>Onshore, 500km, 1 MtCO2/year</t>
  </si>
  <si>
    <t>Onshore pipeline</t>
  </si>
  <si>
    <t>Onshore barge</t>
  </si>
  <si>
    <t>Sievert et al (2025) The impact of financing structures on the cost of carbon dioxide transport, https://doi.org/10.1016/j.eneco.2025.108253</t>
  </si>
  <si>
    <t>Assumes a transport system that moves 1 MtCO2/year over 500 km. Includes transport CAPEX + transport OPEX + financing + compression/conditioning</t>
  </si>
  <si>
    <t>Sievert et al (2025) The impact of financing structures on the cost of carbon dioxide transport, https://doi.org/10.1016/j.eneco.2025.108254</t>
  </si>
  <si>
    <t>Onshore train</t>
  </si>
  <si>
    <t>Sievert et al (2025) The impact of financing structures on the cost of carbon dioxide transport, https://doi.org/10.1016/j.eneco.2025.108255</t>
  </si>
  <si>
    <t>Offshore, 1000km, 3 MtCO2/year</t>
  </si>
  <si>
    <t>Offshore pipeline</t>
  </si>
  <si>
    <t>Sievert et al (2025) The impact of financing structures on the cost of carbon dioxide transport, https://doi.org/10.1016/j.eneco.2025.108256</t>
  </si>
  <si>
    <t>Assumes a transport system that moves 3 MtCO2/year over 1000 km. Includes transport CAPEX + transport OPEX + financing + compression/conditioning</t>
  </si>
  <si>
    <t>Offshore ship</t>
  </si>
  <si>
    <t>Sievert et al (2025) The impact of financing structures on the cost of carbon dioxide transport, https://doi.org/10.1016/j.eneco.2025.108257</t>
  </si>
  <si>
    <t>CAPEX + OPEX transport</t>
  </si>
  <si>
    <t>Type</t>
  </si>
  <si>
    <t>Cost high, €/tCO2</t>
  </si>
  <si>
    <t>Cost low, €/tCO2</t>
  </si>
  <si>
    <t>Facility</t>
  </si>
  <si>
    <t>Sleipner</t>
  </si>
  <si>
    <t>IEA CCUS Projects Database https://www.iea.org/data-and-statistics/data-product/ccus-projects-database</t>
  </si>
  <si>
    <t>Snohvit</t>
  </si>
  <si>
    <t>HeidelbergMaterials Brevik</t>
  </si>
  <si>
    <t>Arcelor LanzaTech Carbalyst (Steelanol) Ghent (BE)</t>
  </si>
  <si>
    <t>Twence Hengelo facility (Boeldershoek) (NL)</t>
  </si>
  <si>
    <t>MOL Szank field CO2 EOR (HU)</t>
  </si>
  <si>
    <t>https://www.tandfonline.com/doi/epdf/10.1080/14693062.2025.2485196?needAccess=true</t>
  </si>
  <si>
    <t>https://www.materiaintel.com/insight/eu_ets_review_eua_price_forecast</t>
  </si>
  <si>
    <t>https://www.sciencedirect.com/science/article/pii/S1750583625002294</t>
  </si>
  <si>
    <t>https://www.sciencedirect.com/science/article/pii/S1750583621001195</t>
  </si>
  <si>
    <t xml:space="preserve">Cost ranges, with learning rates of 4%, conservative learning rate following the Norwegian Energy Agency's discount </t>
  </si>
  <si>
    <t>https://www.sciencedirect.com/science/article/pii/S2772656825001654?via%3Dihub</t>
  </si>
  <si>
    <t>https://geusbulletin.org/index.php/geusb/article/view/4516</t>
  </si>
  <si>
    <t>https://pub.geus.dk/en/publications/co2stop-final-report-assessment-of-co2-storage-potential-in-europ/</t>
  </si>
  <si>
    <t>https://economy-finance.ec.europa.eu/trends-carbon-intensity-and-macroeconomic-role-eu-emissions-trading-system_en</t>
  </si>
  <si>
    <t>https://www.theccc.org.uk/publication/the-seventh-carbon-budget/</t>
  </si>
  <si>
    <t>https://pubs.rsc.org/su/article/4/6/2621/1242354/Analysis-of-carbon-capture-strategies-for</t>
  </si>
  <si>
    <t>https://carbonmanagementeurope.org/wp-content/uploads/2012/06/ZEP-Report-Costs-Storage.pdf</t>
  </si>
  <si>
    <t>https://www.sciencedirect.com/science/article/pii/S0301421518303070</t>
  </si>
  <si>
    <t>No exports from UK to Norway</t>
  </si>
  <si>
    <t xml:space="preserve"> </t>
  </si>
  <si>
    <t>https://www.ssb.no/en/statbank/table/11561</t>
  </si>
  <si>
    <t>https://www.ssb.no/en/statbank/table/11562</t>
  </si>
  <si>
    <t>https://www.ssb.no/en/statbank/table/11563</t>
  </si>
  <si>
    <t>https://www.ssb.no/en/statbank/table/11564</t>
  </si>
  <si>
    <t>https://www.ssb.no/en/statbank/table/11565</t>
  </si>
  <si>
    <t>https://www.ssb.no/en/statbank/table/11566</t>
  </si>
  <si>
    <t>https://www.ssb.no/en/statbank/table/11567</t>
  </si>
  <si>
    <t>https://www.ssb.no/en/statbank/table/11568</t>
  </si>
  <si>
    <t>https://www.ssb.no/en/statbank/table/11569</t>
  </si>
  <si>
    <t>https://www.ssb.no/en/statbank/table/11570</t>
  </si>
  <si>
    <t>https://www.ssb.no/en/statbank/table/11571</t>
  </si>
  <si>
    <t>https://www.ssb.no/en/statbank/table/11572</t>
  </si>
  <si>
    <t>https://www.ssb.no/en/statbank/table/11573</t>
  </si>
  <si>
    <t>https://www.ssb.no/en/statbank/table/11574</t>
  </si>
  <si>
    <t>https://www.ssb.no/en/statbank/table/11575</t>
  </si>
  <si>
    <t>https://www.ssb.no/en/statbank/table/11576</t>
  </si>
  <si>
    <t>https://www.ssb.no/en/statbank/table/11577</t>
  </si>
  <si>
    <t>https://www.ssb.no/en/statbank/table/11578</t>
  </si>
  <si>
    <t>https://www.ssb.no/en/statbank/table/11579</t>
  </si>
  <si>
    <t>https://www.ssb.no/en/statbank/table/11580</t>
  </si>
  <si>
    <t>https://www.ssb.no/en/statbank/table/11581</t>
  </si>
  <si>
    <t>https://www.ssb.no/en/statbank/table/11582</t>
  </si>
  <si>
    <t>https://www.ssb.no/en/statbank/table/11583</t>
  </si>
  <si>
    <t>https://www.ssb.no/en/statbank/table/11584</t>
  </si>
  <si>
    <t>https://www.ssb.no/en/statbank/table/11585</t>
  </si>
  <si>
    <t>https://www.ssb.no/en/statbank/table/11586</t>
  </si>
  <si>
    <t>https://www.ssb.no/en/statbank/table/11587</t>
  </si>
  <si>
    <t>https://www.ssb.no/en/statbank/table/11588</t>
  </si>
  <si>
    <t>https://www.ssb.no/en/statbank/table/11589</t>
  </si>
  <si>
    <t>https://www.ssb.no/en/statbank/table/11590</t>
  </si>
  <si>
    <t>https://www.ssb.no/en/statbank/table/11591</t>
  </si>
  <si>
    <t>https://www.ssb.no/en/statbank/table/11592</t>
  </si>
  <si>
    <t>Consumption, GWh</t>
  </si>
  <si>
    <t>imports, GWh</t>
  </si>
  <si>
    <t>Exports, GWh</t>
  </si>
  <si>
    <t xml:space="preserve">Norway exports 23% of its ng exports to the UK in 2023 </t>
  </si>
  <si>
    <t>Let's assume 77 % to EU then in 2023</t>
  </si>
  <si>
    <t>Year</t>
  </si>
  <si>
    <t>0.0</t>
  </si>
  <si>
    <t>0.4</t>
  </si>
  <si>
    <t>1.5</t>
  </si>
  <si>
    <t>5.2</t>
  </si>
  <si>
    <t>15.7</t>
  </si>
  <si>
    <t>16.9</t>
  </si>
  <si>
    <t>19.6</t>
  </si>
  <si>
    <t>27.1</t>
  </si>
  <si>
    <t>29.1</t>
  </si>
  <si>
    <t>4.0</t>
  </si>
  <si>
    <t>2.5</t>
  </si>
  <si>
    <t>11.2</t>
  </si>
  <si>
    <t>16.4</t>
  </si>
  <si>
    <t>20.2</t>
  </si>
  <si>
    <t>26.2</t>
  </si>
  <si>
    <t>1.0</t>
  </si>
  <si>
    <t>2.8</t>
  </si>
  <si>
    <t>6.0</t>
  </si>
  <si>
    <t>0.8</t>
  </si>
  <si>
    <t>3.0</t>
  </si>
  <si>
    <t>0.7</t>
  </si>
  <si>
    <t>0.5</t>
  </si>
  <si>
    <t>2.0</t>
  </si>
  <si>
    <t>5.0</t>
  </si>
  <si>
    <t>14.2</t>
  </si>
  <si>
    <t>31.2</t>
  </si>
  <si>
    <t>36.2</t>
  </si>
  <si>
    <t>41.2</t>
  </si>
  <si>
    <t>46.2</t>
  </si>
  <si>
    <t>6.5</t>
  </si>
  <si>
    <t>10.0</t>
  </si>
  <si>
    <t>27.0</t>
  </si>
  <si>
    <t>36.0</t>
  </si>
  <si>
    <t>45.0</t>
  </si>
  <si>
    <t>60.0</t>
  </si>
  <si>
    <t>73.0</t>
  </si>
  <si>
    <t>Denmark, MtCO2/yr</t>
  </si>
  <si>
    <t>Netherlands, MtCO2/yr</t>
  </si>
  <si>
    <t>Italy, MtCO2/yr</t>
  </si>
  <si>
    <t>Greece, MtCO2/yr</t>
  </si>
  <si>
    <t>France, MtCO2/yr</t>
  </si>
  <si>
    <t>Bulgaria, MtCO2/yr</t>
  </si>
  <si>
    <t>Iceland, MtCO2/yr</t>
  </si>
  <si>
    <t>Croatia, MtCO2/yr</t>
  </si>
  <si>
    <t>Hungary, MtCO2/yr</t>
  </si>
  <si>
    <t>Spain, MtCO2/yr</t>
  </si>
  <si>
    <t>Norway, MtCO2/yr</t>
  </si>
  <si>
    <t>UK, MtCO2/yr</t>
  </si>
  <si>
    <t>Sources</t>
  </si>
  <si>
    <t>https://www.catf.us/carbon-capture/storage-project-capacity-europe/</t>
  </si>
  <si>
    <t>Iron and steel</t>
  </si>
  <si>
    <t>Cement</t>
  </si>
  <si>
    <t>Natural gas processing/LNG</t>
  </si>
  <si>
    <t>capture technlogy_k</t>
  </si>
  <si>
    <t>PSC, iron and steel</t>
  </si>
  <si>
    <t>Altera Stella Maris CCS Project Phase 2</t>
  </si>
  <si>
    <t>Polaris offshore storage facility</t>
  </si>
  <si>
    <t>Luna storage</t>
  </si>
  <si>
    <t>Trudvang storage project (EXL007)</t>
  </si>
  <si>
    <t>STARFISH project (Havstjerne CO2 storage/Altera Stella Maris CCS Project Phase 1)</t>
  </si>
  <si>
    <t>Poseidon CO2 storage</t>
  </si>
  <si>
    <t>Equinor Smeaheia storage phase 1 (start up phase)</t>
  </si>
  <si>
    <t xml:space="preserve">Iroko carbon storage </t>
  </si>
  <si>
    <t>Kinno carbon storage (EXL010)</t>
  </si>
  <si>
    <t xml:space="preserve">Atlas carbon storage </t>
  </si>
  <si>
    <t>Kaupang carbon storage (EXL012)</t>
  </si>
  <si>
    <t>Forsete carbon storage (EXL013)</t>
  </si>
  <si>
    <t>Havstjerne CO2 Storage (FSIU)</t>
  </si>
  <si>
    <t>Fritos carbon storage (EXL014)</t>
  </si>
  <si>
    <t>Offshore, depleted oil and gas field</t>
  </si>
  <si>
    <t xml:space="preserve">Location </t>
  </si>
  <si>
    <t>54°12'27"N 00°57'36"E</t>
  </si>
  <si>
    <t>53°34'15"N 03°27'11"W</t>
  </si>
  <si>
    <t>Acorn CCS phase 1-T&amp;S</t>
  </si>
  <si>
    <t>Acorn CCS phase 2</t>
  </si>
  <si>
    <t>Liverpool Bay CCS project phase 1</t>
  </si>
  <si>
    <t>Liverpool Bay CCS expansion project (phase 2)</t>
  </si>
  <si>
    <t>Northern Endurance Partnership phase 1</t>
  </si>
  <si>
    <t>Viking CCS Phase 1</t>
  </si>
  <si>
    <t>Viking CCS Phase 2</t>
  </si>
  <si>
    <t>Northern Endurance Partnership phase 2</t>
  </si>
  <si>
    <t>Northern Endurance Partnership phase 3</t>
  </si>
  <si>
    <t>Bacton CCS</t>
  </si>
  <si>
    <t>Medway Hub CCS</t>
  </si>
  <si>
    <t>Morecambe Net Zero</t>
  </si>
  <si>
    <t>Viking CCS Phase 3</t>
  </si>
  <si>
    <t>UK Poseidon CCS project phase 1</t>
  </si>
  <si>
    <t>UK Poseidon CCS project phase 2</t>
  </si>
  <si>
    <t>UK Poseidon CCS project phase 3</t>
  </si>
  <si>
    <t xml:space="preserve">Enquest CCS Project </t>
  </si>
  <si>
    <t>Orion CCS Project Phase 1</t>
  </si>
  <si>
    <t>Orion CCS Project Phase 2</t>
  </si>
  <si>
    <t>Tellus CCS - CS020 (Area 1)</t>
  </si>
  <si>
    <t>Tellus CCS - CS021 (Area 5)</t>
  </si>
  <si>
    <t>Tellus CCS - CS022 (Area 7)</t>
  </si>
  <si>
    <t>Humberside CCS with Shell and Esso</t>
  </si>
  <si>
    <t>The Bluestreak CO2 Joint Venture</t>
  </si>
  <si>
    <t>Sullom voe terminal and Shetland basin hub (SVT) - Thistle injection phase 1</t>
  </si>
  <si>
    <t>Sullom voe terminal and Shetland basin hub (SVT) - Magnus phase 2</t>
  </si>
  <si>
    <t>Sullom voe terminal and Shetland basin hub (SVT) - Regional Expansion phase 3</t>
  </si>
  <si>
    <t/>
  </si>
  <si>
    <t>storage_type</t>
  </si>
  <si>
    <t>60°20'00"N 03°00'00"E</t>
  </si>
  <si>
    <t>57°49'00"N 04°46'00"E</t>
  </si>
  <si>
    <t>58°30'00"N 02°30'00"E</t>
  </si>
  <si>
    <t>58°12'00"N 00°17'00"W</t>
  </si>
  <si>
    <t>58°26'00"N 02°22'00"E</t>
  </si>
  <si>
    <t>59°28'00"N 02°50'00"E</t>
  </si>
  <si>
    <t>https://sccs.org.uk/map/</t>
  </si>
  <si>
    <t>60°45'30"N 04°07'00"E</t>
  </si>
  <si>
    <t>Country</t>
  </si>
  <si>
    <t>Northern Lights Phase 1 - Aurora</t>
  </si>
  <si>
    <t>60°34'35"N 03°26'36"E</t>
  </si>
  <si>
    <t>Northern Lights Phase 2 - Aurora</t>
  </si>
  <si>
    <t>rho_power</t>
  </si>
  <si>
    <t>rho_transport</t>
  </si>
  <si>
    <t>rho_buildings</t>
  </si>
  <si>
    <t>rho_refining</t>
  </si>
  <si>
    <t>rho_chemicals</t>
  </si>
  <si>
    <t>rho_cement</t>
  </si>
  <si>
    <t>rho_iron_steel</t>
  </si>
  <si>
    <t>PSC_cement</t>
  </si>
  <si>
    <t>PSC_iron_steel</t>
  </si>
  <si>
    <t>PSC_chemicals</t>
  </si>
  <si>
    <t>PSC_power</t>
  </si>
  <si>
    <t>PSC_bioenergy</t>
  </si>
  <si>
    <t>Direct_Air_Capture</t>
  </si>
  <si>
    <t>old labeling</t>
  </si>
  <si>
    <t>old, i simplified it (max)</t>
  </si>
  <si>
    <t>PSC_industry</t>
  </si>
  <si>
    <t>Onshore_depleted_fields_reuseinfrastructure</t>
  </si>
  <si>
    <t>Onshore_depleted_fields_noinfrastructure</t>
  </si>
  <si>
    <t>Onshore_saline_aquifers</t>
  </si>
  <si>
    <t>Offshore_depleted_fields_reuseinfrastructure</t>
  </si>
  <si>
    <t>Offshore_depleted_fields_noinfrastructure</t>
  </si>
  <si>
    <t>Offshore_saline_aquifers</t>
  </si>
  <si>
    <t>capex_2025_low</t>
  </si>
  <si>
    <t>capex_2025_high</t>
  </si>
  <si>
    <t>capex_2030_low</t>
  </si>
  <si>
    <t>capex_2030_high</t>
  </si>
  <si>
    <t>capex_2040_low</t>
  </si>
  <si>
    <t>capex_2040_high</t>
  </si>
  <si>
    <t>capex_2050_low</t>
  </si>
  <si>
    <t>capex_2050_higher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</si>
</sst>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  <charset val="161"/>
    </font>
    <font>
      <b/>
      <sz val="11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AEDFB"/>
        <bgColor rgb="FF000000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8" fillId="0" borderId="0"/>
    <xf numFmtId="0" fontId="10" fillId="0" borderId="0" applyNumberFormat="0" applyBorder="0" applyAlignment="0">
      <alignment horizontal="left" vertical="center" wrapText="1"/>
    </xf>
  </cellStyleXfs>
  <cellXfs count="3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/>
    <xf numFmtId="164" fontId="0" fillId="0" borderId="0" xfId="0" applyNumberFormat="1"/>
    <xf numFmtId="2" fontId="0" fillId="0" borderId="0" xfId="0" applyNumberFormat="1"/>
    <xf numFmtId="0" fontId="6" fillId="0" borderId="0" xfId="2"/>
    <xf numFmtId="0" fontId="6" fillId="0" borderId="0" xfId="2" applyFill="1"/>
    <xf numFmtId="0" fontId="7" fillId="0" borderId="0" xfId="0" applyFont="1"/>
    <xf numFmtId="0" fontId="6" fillId="0" borderId="9" xfId="2" applyBorder="1"/>
    <xf numFmtId="164" fontId="0" fillId="0" borderId="0" xfId="1" applyNumberFormat="1" applyFont="1"/>
    <xf numFmtId="1" fontId="0" fillId="0" borderId="0" xfId="0" applyNumberFormat="1"/>
    <xf numFmtId="0" fontId="9" fillId="4" borderId="0" xfId="0" applyFont="1" applyFill="1"/>
    <xf numFmtId="0" fontId="6" fillId="0" borderId="0" xfId="2" applyAlignment="1">
      <alignment horizontal="right"/>
    </xf>
    <xf numFmtId="0" fontId="6" fillId="0" borderId="0" xfId="2" applyBorder="1" applyAlignment="1">
      <alignment horizontal="right"/>
    </xf>
    <xf numFmtId="0" fontId="0" fillId="0" borderId="0" xfId="0" applyAlignment="1">
      <alignment horizontal="left"/>
    </xf>
    <xf numFmtId="0" fontId="6" fillId="0" borderId="0" xfId="2" applyAlignment="1">
      <alignment horizontal="center"/>
    </xf>
    <xf numFmtId="0" fontId="0" fillId="0" borderId="0" xfId="0" applyAlignment="1">
      <alignment horizontal="center"/>
    </xf>
  </cellXfs>
  <cellStyles count="5">
    <cellStyle name="Link" xfId="2" builtinId="8"/>
    <cellStyle name="Normal 2" xfId="3" xr:uid="{279F265F-DC16-C149-9D88-EB24F3A6FF42}"/>
    <cellStyle name="Notes" xfId="4" xr:uid="{3BE3B837-CC4D-2345-A1EF-9C65719512C2}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161925</xdr:rowOff>
    </xdr:from>
    <xdr:to>
      <xdr:col>10</xdr:col>
      <xdr:colOff>323850</xdr:colOff>
      <xdr:row>12</xdr:row>
      <xdr:rowOff>85725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221C17-4AB5-1E6F-9990-84B127BE84CF}"/>
            </a:ext>
          </a:extLst>
        </xdr:cNvPr>
        <xdr:cNvSpPr txBox="1"/>
      </xdr:nvSpPr>
      <xdr:spPr>
        <a:xfrm>
          <a:off x="790575" y="352425"/>
          <a:ext cx="7153275" cy="201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de-AT" sz="3200" b="1"/>
            <a:t>Supply-Side Carbon Management (SCM)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ngrid Sundvor" id="{DE19AD0D-BA92-A64D-AD94-E16DDF08836C}" userId="S::orie4242@ox.ac.uk::2a345b66-f9dd-4a35-86be-f8775cfdb896" providerId="AD"/>
  <person displayName="Ingrid Sundvor" id="{B34E07A5-7CDA-8C49-A68D-A875CFEF7D35}" userId="S::Ingrid.sundvor@carbon-balance.earth::1633800e-4008-4f5f-88a5-7bd0a8f0ba45" providerId="AD"/>
  <person displayName="Petra Bistricic" id="{DC722A51-8AF7-4500-9CF8-6C29BE84D19B}" userId="S::petra.bistricic@carbon-balance.earth::ce155f6c-7c90-4fef-a156-73f4125416d5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6-09-07T17:52:20.57" personId="{DE19AD0D-BA92-A64D-AD94-E16DDF08836C}" id="{09CFDE8D-BD81-7F41-B039-05765437F364}">
    <text>Assuming zero capture rate.</text>
  </threadedComment>
  <threadedComment ref="K1" dT="2026-09-07T17:50:10.52" personId="{DE19AD0D-BA92-A64D-AD94-E16DDF08836C}" id="{1540D12B-C8C2-904D-913F-9E8872832A02}">
    <text>I think it would be smart to have three ETS scenarios low-middle-high</text>
  </threadedComment>
  <threadedComment ref="M1" dT="2026-09-07T19:27:05.34" personId="{DE19AD0D-BA92-A64D-AD94-E16DDF08836C}" id="{B27FF0C8-B90C-1C47-991D-38DEB75E9813}">
    <text xml:space="preserve">These are guess-estimates based on Gunter et al 2026. </text>
  </threadedComment>
  <threadedComment ref="K2" dT="2026-09-07T19:34:26.05" personId="{DE19AD0D-BA92-A64D-AD94-E16DDF08836C}" id="{56BE32EB-F0E8-FA43-9A3C-C0FF57BC2393}">
    <text xml:space="preserve">Same starting point with the average value for 2026. </text>
  </threadedComment>
  <threadedComment ref="K14" dT="2026-09-08T08:00:14.17" personId="{B34E07A5-7CDA-8C49-A68D-A875CFEF7D35}" id="{EDFF14A6-A51B-574A-A87A-8D0DF2CDED91}">
    <text xml:space="preserve">From 2038, this data is projected by authors. </text>
  </threadedComment>
  <threadedComment ref="K26" dT="2026-09-08T08:41:38.71" personId="{B34E07A5-7CDA-8C49-A68D-A875CFEF7D35}" id="{42591256-ACFD-8547-9B1F-4D6267DCEC9F}">
    <text xml:space="preserve">We assumed an end-point for ETS here to get to above 300 EUR </text>
  </threadedComment>
  <threadedComment ref="B27" dT="2026-09-03T12:32:37.24" personId="{B34E07A5-7CDA-8C49-A68D-A875CFEF7D35}" id="{03192A3D-2973-1142-B9A3-5A1138C6B405}">
    <text>Stuart's upcoming paper?</text>
  </threadedComment>
  <threadedComment ref="B27" dT="2026-09-03T12:40:10.71" personId="{B34E07A5-7CDA-8C49-A68D-A875CFEF7D35}" id="{AE8BCE7E-ACF8-4643-85DD-17CDE406E7AD}" parentId="{03192A3D-2973-1142-B9A3-5A1138C6B405}">
    <text xml:space="preserve">Right now, I have just assumed a starting point of 1% with a quadratic reaching 100% by 2050. 
f(t) = 1+a*t^2, with t=0 in 2026 and t=24 in 2050. Coefficient of a=0,1719. </text>
  </threadedComment>
  <threadedComment ref="D27" dT="2026-09-07T11:49:31.83" personId="{DE19AD0D-BA92-A64D-AD94-E16DDF08836C}" id="{4DEE6D7E-A249-B842-ACD7-FD53FAE4D6AC}">
    <text xml:space="preserve">The JRC paper has average sectoral values in 2030 and 2050, with pathway assumptions on technology switching etc. This is just an attempt to show an approximate trajectory.  </text>
  </threadedComment>
  <threadedComment ref="D27" dT="2026-09-07T12:00:33.24" personId="{DE19AD0D-BA92-A64D-AD94-E16DDF08836C}" id="{6172F66D-8BDB-9A41-96AC-4FDAD7DB7BB6}" parentId="{4DEE6D7E-A249-B842-ACD7-FD53FAE4D6AC}">
    <text>The same for other sectors</text>
  </threadedComment>
  <threadedComment ref="E27" dT="2026-09-07T17:52:48.99" personId="{DE19AD0D-BA92-A64D-AD94-E16DDF08836C}" id="{9B48A032-E388-6D4A-A69A-5B303D0D501E}">
    <text>Similar process as with cement</text>
  </threadedComment>
  <threadedComment ref="F27" dT="2026-09-07T17:53:01.35" personId="{DE19AD0D-BA92-A64D-AD94-E16DDF08836C}" id="{B4FC195B-2DB3-D94A-A70B-2D7B6806016F}">
    <text>Similar process as with cement</text>
  </threadedComment>
  <threadedComment ref="G27" dT="2026-09-07T17:53:01.35" personId="{DE19AD0D-BA92-A64D-AD94-E16DDF08836C}" id="{6769CA36-1C2C-F344-A79B-8D8D6E308A17}">
    <text>Similar process as with cement</text>
  </threadedComment>
  <threadedComment ref="H27" dT="2026-09-07T17:53:22.97" personId="{DE19AD0D-BA92-A64D-AD94-E16DDF08836C}" id="{4BFC0944-596A-BB41-89C9-593EE224C739}">
    <text>This is gross gas capacities installed of which power plants equipped with CCS, presented as %</text>
  </threadedComment>
  <threadedComment ref="I27" dT="2026-09-07T17:53:45.45" personId="{DE19AD0D-BA92-A64D-AD94-E16DDF08836C}" id="{2940C6B9-61A7-0349-A3F2-631D2A18A0CA}">
    <text xml:space="preserve">Assuming zero capture rate. No reference needed. </text>
  </threadedComment>
  <threadedComment ref="J27" dT="2026-09-07T17:53:50.72" personId="{DE19AD0D-BA92-A64D-AD94-E16DDF08836C}" id="{4BB36E41-1BB5-4149-A3C5-DFBA0A3F5BC2}">
    <text xml:space="preserve">Assuming zero capture rate. No reference needed.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6-09-07T17:39:04.94" personId="{DE19AD0D-BA92-A64D-AD94-E16DDF08836C}" id="{2AEE1551-3741-9243-990A-B618AC9DEDC2}">
    <text xml:space="preserve">It makes no sense to break up costs based on EU27 v. UK v. NO, so either we aggregate together or we have to separate into much smaller juridictions/sub-regions with similar terrain, resources etc, climate. </text>
  </threadedComment>
  <threadedComment ref="A6" dT="2026-09-07T18:25:00.36" personId="{DE19AD0D-BA92-A64D-AD94-E16DDF08836C}" id="{3764D827-D364-9049-AF1E-B110D6CBD5E3}">
    <text>Need to double check the capex numbers and find a better source</text>
  </threadedComment>
  <threadedComment ref="A7" dT="2026-09-07T18:52:55.80" personId="{DE19AD0D-BA92-A64D-AD94-E16DDF08836C}" id="{E1F17D5E-FBF1-C540-9B15-B01A5B4B5BD4}">
    <text>Uses the same technology family JRC146193 assessed for waste-to-energy, in Table 7.</text>
  </threadedComment>
  <threadedComment ref="A8" dT="2026-09-02T08:07:04.54" personId="{DC722A51-8AF7-4500-9CF8-6C29BE84D19B}" id="{575B1790-B31D-074D-93E2-6D5B81012028}">
    <text>Let’s ignore DACCS and BECCS for now. TU Wien have said in their last response they are excluding a CDR function. We will just have to keep the model run to 2035 as mentioned before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8" dT="2026-09-08T06:32:13.27" personId="{B34E07A5-7CDA-8C49-A68D-A875CFEF7D35}" id="{93D79498-FDE8-F84F-9A83-A11057221035}">
    <text xml:space="preserve">We should try to find a newer data source as this is from 2011, but main insights are opex stay stable. 
Used the highest opex cost estimate in this table.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1" dT="2026-09-08T09:53:30.63" personId="{DC722A51-8AF7-4500-9CF8-6C29BE84D19B}" id="{977939EC-73DE-4CC0-AD0F-3A335A8D12EB}">
    <text>Here we include anything that was already operational in 2025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" dT="2026-09-07T15:19:44.89" personId="{DE19AD0D-BA92-A64D-AD94-E16DDF08836C}" id="{7D421E06-4934-844E-93A8-CD65782B31F0}">
    <text>This all depends on which scenario we choose to use for projections.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s://data.jrc.ec.europa.eu/dataset/1d9562ad-b342-498c-b34e-50ac04b00ded" TargetMode="External"/><Relationship Id="rId7" Type="http://schemas.openxmlformats.org/officeDocument/2006/relationships/hyperlink" Target="https://publications.jrc.ec.europa.eu/repository/handle/JRC143300" TargetMode="External"/><Relationship Id="rId2" Type="http://schemas.openxmlformats.org/officeDocument/2006/relationships/hyperlink" Target="https://publications.jrc.ec.europa.eu/repository/handle/JRC143300" TargetMode="External"/><Relationship Id="rId1" Type="http://schemas.openxmlformats.org/officeDocument/2006/relationships/hyperlink" Target="https://ourworldindata.org/grapher/carbon-dioxide-emissions-factor" TargetMode="External"/><Relationship Id="rId6" Type="http://schemas.openxmlformats.org/officeDocument/2006/relationships/hyperlink" Target="https://www.materiaintel.com/insight/eu_ets_review_eua_price_forecast" TargetMode="External"/><Relationship Id="rId5" Type="http://schemas.openxmlformats.org/officeDocument/2006/relationships/hyperlink" Target="https://www.tandfonline.com/doi/epdf/10.1080/14693062.2025.2485196?needAccess=true" TargetMode="External"/><Relationship Id="rId10" Type="http://schemas.microsoft.com/office/2017/10/relationships/threadedComment" Target="../threadedComments/threadedComment1.xml"/><Relationship Id="rId4" Type="http://schemas.openxmlformats.org/officeDocument/2006/relationships/hyperlink" Target="https://data.jrc.ec.europa.eu/dataset/1d9562ad-b342-498c-b34e-50ac04b00ded" TargetMode="External"/><Relationship Id="rId9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.jrc.ec.europa.eu/dataset/1d9562ad-b342-498c-b34e-50ac04b00ded" TargetMode="External"/><Relationship Id="rId18" Type="http://schemas.openxmlformats.org/officeDocument/2006/relationships/hyperlink" Target="https://data.jrc.ec.europa.eu/dataset/1d9562ad-b342-498c-b34e-50ac04b00ded" TargetMode="External"/><Relationship Id="rId26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9" Type="http://schemas.openxmlformats.org/officeDocument/2006/relationships/hyperlink" Target="https://cms.skiftnorge.no/assets/DNV_ET_Norway_2025_A4_launch.pdf" TargetMode="External"/><Relationship Id="rId21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4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42" Type="http://schemas.openxmlformats.org/officeDocument/2006/relationships/hyperlink" Target="https://cms.skiftnorge.no/assets/DNV_ET_Norway_2025_A4_launch.pdf" TargetMode="External"/><Relationship Id="rId47" Type="http://schemas.openxmlformats.org/officeDocument/2006/relationships/hyperlink" Target="https://cms.skiftnorge.no/assets/DNV_ET_Norway_2025_A4_launch.pdf" TargetMode="External"/><Relationship Id="rId7" Type="http://schemas.openxmlformats.org/officeDocument/2006/relationships/hyperlink" Target="https://data.jrc.ec.europa.eu/dataset/1d9562ad-b342-498c-b34e-50ac04b00ded" TargetMode="External"/><Relationship Id="rId2" Type="http://schemas.openxmlformats.org/officeDocument/2006/relationships/hyperlink" Target="https://data.jrc.ec.europa.eu/dataset/1d9562ad-b342-498c-b34e-50ac04b00ded" TargetMode="External"/><Relationship Id="rId16" Type="http://schemas.openxmlformats.org/officeDocument/2006/relationships/hyperlink" Target="https://data.jrc.ec.europa.eu/dataset/1d9562ad-b342-498c-b34e-50ac04b00ded" TargetMode="External"/><Relationship Id="rId29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11" Type="http://schemas.openxmlformats.org/officeDocument/2006/relationships/hyperlink" Target="https://data.jrc.ec.europa.eu/dataset/1d9562ad-b342-498c-b34e-50ac04b00ded" TargetMode="External"/><Relationship Id="rId24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2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7" Type="http://schemas.openxmlformats.org/officeDocument/2006/relationships/hyperlink" Target="https://www.ssb.no/en/energi-og-industri/energi/statistikk/produksjon-og-forbruk-av-energi-energibalanse-og-energiregnskap" TargetMode="External"/><Relationship Id="rId40" Type="http://schemas.openxmlformats.org/officeDocument/2006/relationships/hyperlink" Target="https://cms.skiftnorge.no/assets/DNV_ET_Norway_2025_A4_launch.pdf" TargetMode="External"/><Relationship Id="rId45" Type="http://schemas.openxmlformats.org/officeDocument/2006/relationships/hyperlink" Target="https://cms.skiftnorge.no/assets/DNV_ET_Norway_2025_A4_launch.pdf" TargetMode="External"/><Relationship Id="rId5" Type="http://schemas.openxmlformats.org/officeDocument/2006/relationships/hyperlink" Target="https://data.jrc.ec.europa.eu/dataset/1d9562ad-b342-498c-b34e-50ac04b00ded" TargetMode="External"/><Relationship Id="rId15" Type="http://schemas.openxmlformats.org/officeDocument/2006/relationships/hyperlink" Target="https://data.jrc.ec.europa.eu/dataset/1d9562ad-b342-498c-b34e-50ac04b00ded" TargetMode="External"/><Relationship Id="rId23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28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6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49" Type="http://schemas.openxmlformats.org/officeDocument/2006/relationships/hyperlink" Target="https://cms.skiftnorge.no/assets/DNV_ET_Norway_2025_A4_launch.pdf" TargetMode="External"/><Relationship Id="rId10" Type="http://schemas.openxmlformats.org/officeDocument/2006/relationships/hyperlink" Target="https://data.jrc.ec.europa.eu/dataset/1d9562ad-b342-498c-b34e-50ac04b00ded" TargetMode="External"/><Relationship Id="rId19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1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44" Type="http://schemas.openxmlformats.org/officeDocument/2006/relationships/hyperlink" Target="https://cms.skiftnorge.no/assets/DNV_ET_Norway_2025_A4_launch.pdf" TargetMode="External"/><Relationship Id="rId4" Type="http://schemas.openxmlformats.org/officeDocument/2006/relationships/hyperlink" Target="https://data.jrc.ec.europa.eu/dataset/1d9562ad-b342-498c-b34e-50ac04b00ded" TargetMode="External"/><Relationship Id="rId9" Type="http://schemas.openxmlformats.org/officeDocument/2006/relationships/hyperlink" Target="https://data.jrc.ec.europa.eu/dataset/1d9562ad-b342-498c-b34e-50ac04b00ded" TargetMode="External"/><Relationship Id="rId14" Type="http://schemas.openxmlformats.org/officeDocument/2006/relationships/hyperlink" Target="https://data.jrc.ec.europa.eu/dataset/1d9562ad-b342-498c-b34e-50ac04b00ded" TargetMode="External"/><Relationship Id="rId22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27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0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5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43" Type="http://schemas.openxmlformats.org/officeDocument/2006/relationships/hyperlink" Target="https://cms.skiftnorge.no/assets/DNV_ET_Norway_2025_A4_launch.pdf" TargetMode="External"/><Relationship Id="rId48" Type="http://schemas.openxmlformats.org/officeDocument/2006/relationships/hyperlink" Target="https://cms.skiftnorge.no/assets/DNV_ET_Norway_2025_A4_launch.pdf" TargetMode="External"/><Relationship Id="rId8" Type="http://schemas.openxmlformats.org/officeDocument/2006/relationships/hyperlink" Target="https://data.jrc.ec.europa.eu/dataset/1d9562ad-b342-498c-b34e-50ac04b00ded" TargetMode="External"/><Relationship Id="rId3" Type="http://schemas.openxmlformats.org/officeDocument/2006/relationships/hyperlink" Target="https://data.jrc.ec.europa.eu/dataset/1d9562ad-b342-498c-b34e-50ac04b00ded" TargetMode="External"/><Relationship Id="rId12" Type="http://schemas.openxmlformats.org/officeDocument/2006/relationships/hyperlink" Target="https://data.jrc.ec.europa.eu/dataset/1d9562ad-b342-498c-b34e-50ac04b00ded" TargetMode="External"/><Relationship Id="rId17" Type="http://schemas.openxmlformats.org/officeDocument/2006/relationships/hyperlink" Target="https://data.jrc.ec.europa.eu/dataset/1d9562ad-b342-498c-b34e-50ac04b00ded" TargetMode="External"/><Relationship Id="rId25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3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38" Type="http://schemas.openxmlformats.org/officeDocument/2006/relationships/hyperlink" Target="https://cms.skiftnorge.no/assets/DNV_ET_Norway_2025_A4_launch.pdf" TargetMode="External"/><Relationship Id="rId46" Type="http://schemas.openxmlformats.org/officeDocument/2006/relationships/hyperlink" Target="https://cms.skiftnorge.no/assets/DNV_ET_Norway_2025_A4_launch.pdf" TargetMode="External"/><Relationship Id="rId20" Type="http://schemas.openxmlformats.org/officeDocument/2006/relationships/hyperlink" Target="https://www.neso.energy/data-portal/fes-natural-gas-residential-and-non-domestic-i-c-heat-demand-summary-data-table-ed3/_natural_gas_demand_summary_ed3_2025" TargetMode="External"/><Relationship Id="rId41" Type="http://schemas.openxmlformats.org/officeDocument/2006/relationships/hyperlink" Target="https://cms.skiftnorge.no/assets/DNV_ET_Norway_2025_A4_launch.pdf" TargetMode="External"/><Relationship Id="rId1" Type="http://schemas.openxmlformats.org/officeDocument/2006/relationships/hyperlink" Target="https://data.jrc.ec.europa.eu/dataset/1d9562ad-b342-498c-b34e-50ac04b00ded" TargetMode="External"/><Relationship Id="rId6" Type="http://schemas.openxmlformats.org/officeDocument/2006/relationships/hyperlink" Target="https://data.jrc.ec.europa.eu/dataset/1d9562ad-b342-498c-b34e-50ac04b00ded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ations.jrc.ec.europa.eu/repository/handle/JRC146193" TargetMode="External"/><Relationship Id="rId3" Type="http://schemas.openxmlformats.org/officeDocument/2006/relationships/hyperlink" Target="https://www.sciencedirect.com/science/article/pii/S0360544226016944" TargetMode="External"/><Relationship Id="rId7" Type="http://schemas.openxmlformats.org/officeDocument/2006/relationships/hyperlink" Target="https://publications.jrc.ec.europa.eu/repository/handle/JRC146193" TargetMode="External"/><Relationship Id="rId12" Type="http://schemas.microsoft.com/office/2017/10/relationships/threadedComment" Target="../threadedComments/threadedComment2.xml"/><Relationship Id="rId2" Type="http://schemas.openxmlformats.org/officeDocument/2006/relationships/hyperlink" Target="https://www.sciencedirect.com/science/article/pii/S0360544226016944" TargetMode="External"/><Relationship Id="rId1" Type="http://schemas.openxmlformats.org/officeDocument/2006/relationships/hyperlink" Target="https://www.sciencedirect.com/science/article/pii/S0360544226016944" TargetMode="External"/><Relationship Id="rId6" Type="http://schemas.openxmlformats.org/officeDocument/2006/relationships/hyperlink" Target="https://publications.jrc.ec.europa.eu/repository/handle/JRC146193" TargetMode="External"/><Relationship Id="rId11" Type="http://schemas.openxmlformats.org/officeDocument/2006/relationships/comments" Target="../comments2.xml"/><Relationship Id="rId5" Type="http://schemas.openxmlformats.org/officeDocument/2006/relationships/hyperlink" Target="https://publications.jrc.ec.europa.eu/repository/handle/JRC146193" TargetMode="External"/><Relationship Id="rId10" Type="http://schemas.openxmlformats.org/officeDocument/2006/relationships/vmlDrawing" Target="../drawings/vmlDrawing2.vml"/><Relationship Id="rId4" Type="http://schemas.openxmlformats.org/officeDocument/2006/relationships/hyperlink" Target="https://publications.jrc.ec.europa.eu/repository/handle/JRC146193" TargetMode="External"/><Relationship Id="rId9" Type="http://schemas.openxmlformats.org/officeDocument/2006/relationships/hyperlink" Target="https://www.sciencedirect.com/science/article/pii/S175058361500256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3.vml"/><Relationship Id="rId3" Type="http://schemas.openxmlformats.org/officeDocument/2006/relationships/hyperlink" Target="https://op.europa.eu/en/publication-detail/-/publication/e8b64ba3-c74f-11f0-8da2-01aa75ed71a1" TargetMode="External"/><Relationship Id="rId7" Type="http://schemas.openxmlformats.org/officeDocument/2006/relationships/hyperlink" Target="https://carbonmanagementeurope.org/wp-content/uploads/2012/06/ZEP-Report-Costs-Storage.pdf" TargetMode="External"/><Relationship Id="rId2" Type="http://schemas.openxmlformats.org/officeDocument/2006/relationships/hyperlink" Target="https://op.europa.eu/en/publication-detail/-/publication/e8b64ba3-c74f-11f0-8da2-01aa75ed71a1" TargetMode="External"/><Relationship Id="rId1" Type="http://schemas.openxmlformats.org/officeDocument/2006/relationships/hyperlink" Target="https://op.europa.eu/en/publication-detail/-/publication/e8b64ba3-c74f-11f0-8da2-01aa75ed71a1" TargetMode="External"/><Relationship Id="rId6" Type="http://schemas.openxmlformats.org/officeDocument/2006/relationships/hyperlink" Target="https://op.europa.eu/en/publication-detail/-/publication/e8b64ba3-c74f-11f0-8da2-01aa75ed71a1" TargetMode="External"/><Relationship Id="rId5" Type="http://schemas.openxmlformats.org/officeDocument/2006/relationships/hyperlink" Target="https://op.europa.eu/en/publication-detail/-/publication/e8b64ba3-c74f-11f0-8da2-01aa75ed71a1" TargetMode="External"/><Relationship Id="rId10" Type="http://schemas.microsoft.com/office/2017/10/relationships/threadedComment" Target="../threadedComments/threadedComment3.xml"/><Relationship Id="rId4" Type="http://schemas.openxmlformats.org/officeDocument/2006/relationships/hyperlink" Target="https://op.europa.eu/en/publication-detail/-/publication/e8b64ba3-c74f-11f0-8da2-01aa75ed71a1" TargetMode="External"/><Relationship Id="rId9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jrc.ec.europa.eu/dataset/1d9562ad-b342-498c-b34e-50ac04b00ded" TargetMode="External"/><Relationship Id="rId13" Type="http://schemas.openxmlformats.org/officeDocument/2006/relationships/hyperlink" Target="https://publications.jrc.ec.europa.eu/repository/handle/JRC143300" TargetMode="External"/><Relationship Id="rId18" Type="http://schemas.openxmlformats.org/officeDocument/2006/relationships/hyperlink" Target="https://pubs.rsc.org/su/article/4/6/2621/1242354/Analysis-of-carbon-capture-strategies-for" TargetMode="External"/><Relationship Id="rId3" Type="http://schemas.openxmlformats.org/officeDocument/2006/relationships/hyperlink" Target="https://www.sciencedirect.com/science/article/pii/S2772656825001654" TargetMode="External"/><Relationship Id="rId21" Type="http://schemas.openxmlformats.org/officeDocument/2006/relationships/hyperlink" Target="https://www.sciencedirect.com/science/article/pii/S1750583621001195" TargetMode="External"/><Relationship Id="rId7" Type="http://schemas.openxmlformats.org/officeDocument/2006/relationships/hyperlink" Target="https://publications.jrc.ec.europa.eu/repository/handle/JRC146193" TargetMode="External"/><Relationship Id="rId12" Type="http://schemas.openxmlformats.org/officeDocument/2006/relationships/hyperlink" Target="https://www.sciencedirect.com/science/article/pii/S2772656825001654?via%3Dihub" TargetMode="External"/><Relationship Id="rId17" Type="http://schemas.openxmlformats.org/officeDocument/2006/relationships/hyperlink" Target="https://www.theccc.org.uk/publication/the-seventh-carbon-budget/" TargetMode="External"/><Relationship Id="rId2" Type="http://schemas.openxmlformats.org/officeDocument/2006/relationships/hyperlink" Target="https://data.jrc.ec.europa.eu/dataset/1d9562ad-b342-498c-b34e-50ac04b00ded" TargetMode="External"/><Relationship Id="rId16" Type="http://schemas.openxmlformats.org/officeDocument/2006/relationships/hyperlink" Target="https://economy-finance.ec.europa.eu/trends-carbon-intensity-and-macroeconomic-role-eu-emissions-trading-system_en" TargetMode="External"/><Relationship Id="rId20" Type="http://schemas.openxmlformats.org/officeDocument/2006/relationships/hyperlink" Target="https://www.sciencedirect.com/science/article/pii/S0301421518303070" TargetMode="External"/><Relationship Id="rId1" Type="http://schemas.openxmlformats.org/officeDocument/2006/relationships/hyperlink" Target="https://www.sciencedirect.com/science/article/pii/S0360544223005017" TargetMode="External"/><Relationship Id="rId6" Type="http://schemas.openxmlformats.org/officeDocument/2006/relationships/hyperlink" Target="https://www.gov.uk/government/statistics/gas-section-4-energy-trends" TargetMode="External"/><Relationship Id="rId11" Type="http://schemas.openxmlformats.org/officeDocument/2006/relationships/hyperlink" Target="https://www.sciencedirect.com/science/article/pii/S1750583621001195" TargetMode="External"/><Relationship Id="rId5" Type="http://schemas.openxmlformats.org/officeDocument/2006/relationships/hyperlink" Target="https://www.econstor.eu/handle/10419/253278" TargetMode="External"/><Relationship Id="rId15" Type="http://schemas.openxmlformats.org/officeDocument/2006/relationships/hyperlink" Target="https://pub.geus.dk/en/publications/co2stop-final-report-assessment-of-co2-storage-potential-in-europ/" TargetMode="External"/><Relationship Id="rId10" Type="http://schemas.openxmlformats.org/officeDocument/2006/relationships/hyperlink" Target="https://www.sciencedirect.com/science/article/pii/S1750583625002294" TargetMode="External"/><Relationship Id="rId19" Type="http://schemas.openxmlformats.org/officeDocument/2006/relationships/hyperlink" Target="https://www.sciencedirect.com/science/article/pii/S1750583625002294" TargetMode="External"/><Relationship Id="rId4" Type="http://schemas.openxmlformats.org/officeDocument/2006/relationships/hyperlink" Target="https://www.deloitte.com/de/de/what-we-do/capabilities/sustainability-climate-dsc/natural-gas-demand-outlook-to-2050.html" TargetMode="External"/><Relationship Id="rId9" Type="http://schemas.openxmlformats.org/officeDocument/2006/relationships/hyperlink" Target="https://www.sciencedirect.com/science/article/pii/S1750583625002294" TargetMode="External"/><Relationship Id="rId14" Type="http://schemas.openxmlformats.org/officeDocument/2006/relationships/hyperlink" Target="https://geusbulletin.org/index.php/geusb/article/view/4516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ieefa.org/eu-gas-flows-tracker" TargetMode="External"/><Relationship Id="rId2" Type="http://schemas.openxmlformats.org/officeDocument/2006/relationships/hyperlink" Target="https://ieefa.org/eu-gas-flows-tracker" TargetMode="External"/><Relationship Id="rId1" Type="http://schemas.openxmlformats.org/officeDocument/2006/relationships/hyperlink" Target="https://www.gov.uk/government/statistics/gas-section-4-energy-trends" TargetMode="External"/><Relationship Id="rId6" Type="http://schemas.microsoft.com/office/2017/10/relationships/threadedComment" Target="../threadedComments/threadedComment5.xm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ssb.no/en/statbank/table/11561" TargetMode="External"/><Relationship Id="rId1" Type="http://schemas.openxmlformats.org/officeDocument/2006/relationships/hyperlink" Target="https://www.ssb.no/en/statbank/table/11561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atf.us/carbon-capture/storage-project-capacity-europe/" TargetMode="External"/><Relationship Id="rId3" Type="http://schemas.openxmlformats.org/officeDocument/2006/relationships/hyperlink" Target="https://www.catf.us/carbon-capture/storage-project-capacity-europe/" TargetMode="External"/><Relationship Id="rId7" Type="http://schemas.openxmlformats.org/officeDocument/2006/relationships/hyperlink" Target="https://www.catf.us/carbon-capture/storage-project-capacity-europe/" TargetMode="External"/><Relationship Id="rId12" Type="http://schemas.openxmlformats.org/officeDocument/2006/relationships/hyperlink" Target="https://www.catf.us/carbon-capture/storage-project-capacity-europe/" TargetMode="External"/><Relationship Id="rId2" Type="http://schemas.openxmlformats.org/officeDocument/2006/relationships/hyperlink" Target="https://www.catf.us/carbon-capture/storage-project-capacity-europe/" TargetMode="External"/><Relationship Id="rId1" Type="http://schemas.openxmlformats.org/officeDocument/2006/relationships/hyperlink" Target="https://www.catf.us/carbon-capture/storage-project-capacity-europe/" TargetMode="External"/><Relationship Id="rId6" Type="http://schemas.openxmlformats.org/officeDocument/2006/relationships/hyperlink" Target="https://www.catf.us/carbon-capture/storage-project-capacity-europe/" TargetMode="External"/><Relationship Id="rId11" Type="http://schemas.openxmlformats.org/officeDocument/2006/relationships/hyperlink" Target="https://www.catf.us/carbon-capture/storage-project-capacity-europe/" TargetMode="External"/><Relationship Id="rId5" Type="http://schemas.openxmlformats.org/officeDocument/2006/relationships/hyperlink" Target="https://www.catf.us/carbon-capture/storage-project-capacity-europe/" TargetMode="External"/><Relationship Id="rId10" Type="http://schemas.openxmlformats.org/officeDocument/2006/relationships/hyperlink" Target="https://www.catf.us/carbon-capture/storage-project-capacity-europe/" TargetMode="External"/><Relationship Id="rId4" Type="http://schemas.openxmlformats.org/officeDocument/2006/relationships/hyperlink" Target="https://www.catf.us/carbon-capture/storage-project-capacity-europe/" TargetMode="External"/><Relationship Id="rId9" Type="http://schemas.openxmlformats.org/officeDocument/2006/relationships/hyperlink" Target="https://www.catf.us/carbon-capture/storage-project-capacity-europe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ccs.org.uk/map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odir.no/49056b/contentassets/32fc9b9a1f01475b9c278370285bbce7/chapter-7.pdf" TargetMode="External"/><Relationship Id="rId13" Type="http://schemas.openxmlformats.org/officeDocument/2006/relationships/hyperlink" Target="https://www.sodir.no/49056b/contentassets/32fc9b9a1f01475b9c278370285bbce7/chapter-7.pdf" TargetMode="External"/><Relationship Id="rId18" Type="http://schemas.openxmlformats.org/officeDocument/2006/relationships/hyperlink" Target="https://www.sodir.no/49056b/contentassets/32fc9b9a1f01475b9c278370285bbce7/chapter-7.pdf" TargetMode="External"/><Relationship Id="rId3" Type="http://schemas.openxmlformats.org/officeDocument/2006/relationships/hyperlink" Target="https://www.sodir.no/49056b/contentassets/32fc9b9a1f01475b9c278370285bbce7/chapter-7.pdf" TargetMode="External"/><Relationship Id="rId21" Type="http://schemas.openxmlformats.org/officeDocument/2006/relationships/hyperlink" Target="https://www.sodir.no/49056b/contentassets/32fc9b9a1f01475b9c278370285bbce7/chapter-7.pdf" TargetMode="External"/><Relationship Id="rId7" Type="http://schemas.openxmlformats.org/officeDocument/2006/relationships/hyperlink" Target="https://www.sodir.no/49056b/contentassets/32fc9b9a1f01475b9c278370285bbce7/chapter-7.pdf" TargetMode="External"/><Relationship Id="rId12" Type="http://schemas.openxmlformats.org/officeDocument/2006/relationships/hyperlink" Target="https://www.sodir.no/49056b/contentassets/32fc9b9a1f01475b9c278370285bbce7/chapter-7.pdf" TargetMode="External"/><Relationship Id="rId17" Type="http://schemas.openxmlformats.org/officeDocument/2006/relationships/hyperlink" Target="https://www.sodir.no/49056b/contentassets/32fc9b9a1f01475b9c278370285bbce7/chapter-7.pdf" TargetMode="External"/><Relationship Id="rId2" Type="http://schemas.openxmlformats.org/officeDocument/2006/relationships/hyperlink" Target="https://www.sodir.no/49056b/contentassets/32fc9b9a1f01475b9c278370285bbce7/chapter-7.pdf" TargetMode="External"/><Relationship Id="rId16" Type="http://schemas.openxmlformats.org/officeDocument/2006/relationships/hyperlink" Target="https://www.sodir.no/49056b/contentassets/32fc9b9a1f01475b9c278370285bbce7/chapter-7.pdf" TargetMode="External"/><Relationship Id="rId20" Type="http://schemas.openxmlformats.org/officeDocument/2006/relationships/hyperlink" Target="https://www.sodir.no/49056b/contentassets/32fc9b9a1f01475b9c278370285bbce7/chapter-7.pdf" TargetMode="External"/><Relationship Id="rId1" Type="http://schemas.openxmlformats.org/officeDocument/2006/relationships/hyperlink" Target="https://www.sodir.no/49056b/contentassets/32fc9b9a1f01475b9c278370285bbce7/chapter-7.pdf" TargetMode="External"/><Relationship Id="rId6" Type="http://schemas.openxmlformats.org/officeDocument/2006/relationships/hyperlink" Target="https://www.sodir.no/49056b/contentassets/32fc9b9a1f01475b9c278370285bbce7/chapter-7.pdf" TargetMode="External"/><Relationship Id="rId11" Type="http://schemas.openxmlformats.org/officeDocument/2006/relationships/hyperlink" Target="https://www.sodir.no/49056b/contentassets/32fc9b9a1f01475b9c278370285bbce7/chapter-7.pdf" TargetMode="External"/><Relationship Id="rId5" Type="http://schemas.openxmlformats.org/officeDocument/2006/relationships/hyperlink" Target="https://www.sodir.no/49056b/contentassets/32fc9b9a1f01475b9c278370285bbce7/chapter-7.pdf" TargetMode="External"/><Relationship Id="rId15" Type="http://schemas.openxmlformats.org/officeDocument/2006/relationships/hyperlink" Target="https://www.sodir.no/49056b/contentassets/32fc9b9a1f01475b9c278370285bbce7/chapter-7.pdf" TargetMode="External"/><Relationship Id="rId10" Type="http://schemas.openxmlformats.org/officeDocument/2006/relationships/hyperlink" Target="https://www.sodir.no/49056b/contentassets/32fc9b9a1f01475b9c278370285bbce7/chapter-7.pdf" TargetMode="External"/><Relationship Id="rId19" Type="http://schemas.openxmlformats.org/officeDocument/2006/relationships/hyperlink" Target="https://www.sodir.no/49056b/contentassets/32fc9b9a1f01475b9c278370285bbce7/chapter-7.pdf" TargetMode="External"/><Relationship Id="rId4" Type="http://schemas.openxmlformats.org/officeDocument/2006/relationships/hyperlink" Target="https://www.sodir.no/49056b/contentassets/32fc9b9a1f01475b9c278370285bbce7/chapter-7.pdf" TargetMode="External"/><Relationship Id="rId9" Type="http://schemas.openxmlformats.org/officeDocument/2006/relationships/hyperlink" Target="https://www.sodir.no/49056b/contentassets/32fc9b9a1f01475b9c278370285bbce7/chapter-7.pdf" TargetMode="External"/><Relationship Id="rId14" Type="http://schemas.openxmlformats.org/officeDocument/2006/relationships/hyperlink" Target="https://www.sodir.no/49056b/contentassets/32fc9b9a1f01475b9c278370285bbce7/chapter-7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28A9D-92A1-4D60-9D4F-E46D82814F8E}">
  <dimension ref="C14:F55"/>
  <sheetViews>
    <sheetView topLeftCell="D7" zoomScale="118" zoomScaleNormal="100" workbookViewId="0">
      <selection activeCell="E18" sqref="E18"/>
    </sheetView>
  </sheetViews>
  <sheetFormatPr baseColWidth="10" defaultColWidth="11.42578125" defaultRowHeight="15" x14ac:dyDescent="0.25"/>
  <cols>
    <col min="2" max="2" width="20.5703125" customWidth="1"/>
    <col min="3" max="3" width="78" customWidth="1"/>
    <col min="4" max="4" width="92.42578125" customWidth="1"/>
    <col min="5" max="5" width="68.5703125" customWidth="1"/>
  </cols>
  <sheetData>
    <row r="14" spans="3:6" ht="15.75" thickBot="1" x14ac:dyDescent="0.3"/>
    <row r="15" spans="3:6" x14ac:dyDescent="0.25">
      <c r="C15" s="3" t="s">
        <v>0</v>
      </c>
      <c r="D15" s="4" t="s">
        <v>1</v>
      </c>
      <c r="E15" s="4" t="s">
        <v>2</v>
      </c>
      <c r="F15" s="5" t="s">
        <v>3</v>
      </c>
    </row>
    <row r="16" spans="3:6" x14ac:dyDescent="0.25">
      <c r="C16" s="6" t="s">
        <v>4</v>
      </c>
      <c r="D16" s="7" t="s">
        <v>5</v>
      </c>
      <c r="E16" s="7" t="s">
        <v>6</v>
      </c>
      <c r="F16" s="8" t="s">
        <v>7</v>
      </c>
    </row>
    <row r="17" spans="3:6" x14ac:dyDescent="0.25">
      <c r="C17" s="6" t="s">
        <v>4</v>
      </c>
      <c r="D17" s="7" t="s">
        <v>8</v>
      </c>
      <c r="E17" s="7" t="s">
        <v>9</v>
      </c>
      <c r="F17" s="8" t="s">
        <v>86</v>
      </c>
    </row>
    <row r="18" spans="3:6" x14ac:dyDescent="0.25">
      <c r="C18" s="6" t="s">
        <v>4</v>
      </c>
      <c r="D18" s="7" t="s">
        <v>10</v>
      </c>
      <c r="E18" s="7" t="s">
        <v>89</v>
      </c>
      <c r="F18" s="8" t="s">
        <v>7</v>
      </c>
    </row>
    <row r="19" spans="3:6" x14ac:dyDescent="0.25">
      <c r="C19" s="6" t="s">
        <v>4</v>
      </c>
      <c r="D19" s="7" t="s">
        <v>11</v>
      </c>
      <c r="E19" s="7" t="s">
        <v>12</v>
      </c>
      <c r="F19" s="8" t="s">
        <v>13</v>
      </c>
    </row>
    <row r="20" spans="3:6" x14ac:dyDescent="0.25">
      <c r="C20" s="6" t="s">
        <v>14</v>
      </c>
      <c r="D20" s="7" t="s">
        <v>15</v>
      </c>
      <c r="E20" s="7" t="s">
        <v>16</v>
      </c>
      <c r="F20" s="8"/>
    </row>
    <row r="21" spans="3:6" x14ac:dyDescent="0.25">
      <c r="C21" s="6" t="s">
        <v>14</v>
      </c>
      <c r="D21" s="7" t="s">
        <v>17</v>
      </c>
      <c r="E21" s="7" t="s">
        <v>88</v>
      </c>
      <c r="F21" s="8"/>
    </row>
    <row r="22" spans="3:6" x14ac:dyDescent="0.25">
      <c r="C22" s="6" t="s">
        <v>14</v>
      </c>
      <c r="D22" s="7" t="s">
        <v>18</v>
      </c>
      <c r="E22" s="7" t="s">
        <v>19</v>
      </c>
      <c r="F22" s="8"/>
    </row>
    <row r="23" spans="3:6" x14ac:dyDescent="0.25">
      <c r="C23" s="6" t="s">
        <v>14</v>
      </c>
      <c r="D23" s="7" t="s">
        <v>20</v>
      </c>
      <c r="E23" s="7" t="s">
        <v>21</v>
      </c>
      <c r="F23" s="8" t="s">
        <v>22</v>
      </c>
    </row>
    <row r="24" spans="3:6" x14ac:dyDescent="0.25">
      <c r="C24" s="6" t="s">
        <v>23</v>
      </c>
      <c r="D24" s="7" t="s">
        <v>24</v>
      </c>
      <c r="E24" s="7" t="s">
        <v>25</v>
      </c>
      <c r="F24" s="8" t="s">
        <v>13</v>
      </c>
    </row>
    <row r="25" spans="3:6" x14ac:dyDescent="0.25">
      <c r="C25" s="6" t="s">
        <v>23</v>
      </c>
      <c r="D25" s="7" t="s">
        <v>26</v>
      </c>
      <c r="E25" s="7" t="s">
        <v>27</v>
      </c>
      <c r="F25" s="8" t="s">
        <v>13</v>
      </c>
    </row>
    <row r="26" spans="3:6" x14ac:dyDescent="0.25">
      <c r="C26" s="6" t="s">
        <v>23</v>
      </c>
      <c r="D26" s="7" t="s">
        <v>28</v>
      </c>
      <c r="E26" s="7" t="s">
        <v>29</v>
      </c>
      <c r="F26" s="8" t="s">
        <v>7</v>
      </c>
    </row>
    <row r="27" spans="3:6" x14ac:dyDescent="0.25">
      <c r="C27" s="6" t="s">
        <v>23</v>
      </c>
      <c r="D27" s="7" t="s">
        <v>30</v>
      </c>
      <c r="E27" s="7" t="s">
        <v>31</v>
      </c>
      <c r="F27" s="8"/>
    </row>
    <row r="28" spans="3:6" x14ac:dyDescent="0.25">
      <c r="C28" s="6" t="s">
        <v>32</v>
      </c>
      <c r="D28" s="7" t="s">
        <v>33</v>
      </c>
      <c r="E28" s="7" t="s">
        <v>34</v>
      </c>
      <c r="F28" s="8"/>
    </row>
    <row r="29" spans="3:6" x14ac:dyDescent="0.25">
      <c r="C29" s="6" t="s">
        <v>32</v>
      </c>
      <c r="D29" s="7" t="s">
        <v>35</v>
      </c>
      <c r="E29" s="7" t="s">
        <v>36</v>
      </c>
      <c r="F29" s="8" t="s">
        <v>37</v>
      </c>
    </row>
    <row r="30" spans="3:6" x14ac:dyDescent="0.25">
      <c r="C30" s="6" t="s">
        <v>32</v>
      </c>
      <c r="D30" s="7" t="s">
        <v>38</v>
      </c>
      <c r="E30" s="7" t="s">
        <v>39</v>
      </c>
      <c r="F30" s="8" t="s">
        <v>40</v>
      </c>
    </row>
    <row r="31" spans="3:6" x14ac:dyDescent="0.25">
      <c r="C31" s="6" t="s">
        <v>32</v>
      </c>
      <c r="D31" s="7" t="s">
        <v>41</v>
      </c>
      <c r="E31" s="7" t="s">
        <v>42</v>
      </c>
      <c r="F31" s="8" t="s">
        <v>90</v>
      </c>
    </row>
    <row r="32" spans="3:6" x14ac:dyDescent="0.25">
      <c r="C32" s="6" t="s">
        <v>32</v>
      </c>
      <c r="D32" s="7" t="s">
        <v>43</v>
      </c>
      <c r="E32" s="7" t="s">
        <v>44</v>
      </c>
      <c r="F32" s="8" t="s">
        <v>13</v>
      </c>
    </row>
    <row r="33" spans="3:6" x14ac:dyDescent="0.25">
      <c r="C33" s="6" t="s">
        <v>32</v>
      </c>
      <c r="D33" s="7" t="s">
        <v>45</v>
      </c>
      <c r="E33" s="7" t="s">
        <v>46</v>
      </c>
      <c r="F33" s="8" t="s">
        <v>13</v>
      </c>
    </row>
    <row r="34" spans="3:6" x14ac:dyDescent="0.25">
      <c r="C34" s="6" t="s">
        <v>47</v>
      </c>
      <c r="D34" s="7" t="s">
        <v>48</v>
      </c>
      <c r="E34" s="7" t="s">
        <v>49</v>
      </c>
      <c r="F34" s="8" t="s">
        <v>13</v>
      </c>
    </row>
    <row r="35" spans="3:6" x14ac:dyDescent="0.25">
      <c r="C35" s="6" t="s">
        <v>50</v>
      </c>
      <c r="D35" s="7" t="s">
        <v>51</v>
      </c>
      <c r="E35" s="7" t="s">
        <v>52</v>
      </c>
      <c r="F35" s="8" t="s">
        <v>53</v>
      </c>
    </row>
    <row r="36" spans="3:6" x14ac:dyDescent="0.25">
      <c r="C36" s="6" t="s">
        <v>50</v>
      </c>
      <c r="D36" s="7" t="s">
        <v>54</v>
      </c>
      <c r="E36" s="7" t="s">
        <v>55</v>
      </c>
      <c r="F36" s="8" t="s">
        <v>53</v>
      </c>
    </row>
    <row r="37" spans="3:6" ht="15.75" thickBot="1" x14ac:dyDescent="0.3">
      <c r="C37" s="9" t="s">
        <v>50</v>
      </c>
      <c r="D37" s="10" t="s">
        <v>56</v>
      </c>
      <c r="E37" s="10" t="s">
        <v>57</v>
      </c>
      <c r="F37" s="11" t="s">
        <v>58</v>
      </c>
    </row>
    <row r="39" spans="3:6" ht="15.75" thickBot="1" x14ac:dyDescent="0.3"/>
    <row r="40" spans="3:6" x14ac:dyDescent="0.25">
      <c r="C40" s="12" t="s">
        <v>59</v>
      </c>
      <c r="D40" s="13" t="s">
        <v>60</v>
      </c>
      <c r="E40" s="14" t="s">
        <v>61</v>
      </c>
    </row>
    <row r="41" spans="3:6" x14ac:dyDescent="0.25">
      <c r="C41" s="6"/>
      <c r="D41" s="7"/>
      <c r="E41" s="8"/>
    </row>
    <row r="42" spans="3:6" x14ac:dyDescent="0.25">
      <c r="C42" s="6"/>
      <c r="D42" s="7"/>
      <c r="E42" s="8"/>
    </row>
    <row r="43" spans="3:6" x14ac:dyDescent="0.25">
      <c r="C43" s="6"/>
      <c r="D43" s="7"/>
      <c r="E43" s="8"/>
    </row>
    <row r="44" spans="3:6" x14ac:dyDescent="0.25">
      <c r="C44" s="6"/>
      <c r="D44" s="7"/>
      <c r="E44" s="8"/>
    </row>
    <row r="45" spans="3:6" x14ac:dyDescent="0.25">
      <c r="C45" s="6"/>
      <c r="D45" s="7"/>
      <c r="E45" s="8"/>
    </row>
    <row r="46" spans="3:6" x14ac:dyDescent="0.25">
      <c r="C46" s="6"/>
      <c r="D46" s="7"/>
      <c r="E46" s="8"/>
    </row>
    <row r="47" spans="3:6" x14ac:dyDescent="0.25">
      <c r="C47" s="6"/>
      <c r="D47" s="7"/>
      <c r="E47" s="8"/>
    </row>
    <row r="48" spans="3:6" x14ac:dyDescent="0.25">
      <c r="C48" s="6"/>
      <c r="D48" s="7"/>
      <c r="E48" s="8"/>
    </row>
    <row r="49" spans="3:5" x14ac:dyDescent="0.25">
      <c r="C49" s="6"/>
      <c r="D49" s="7"/>
      <c r="E49" s="8"/>
    </row>
    <row r="50" spans="3:5" x14ac:dyDescent="0.25">
      <c r="C50" s="6"/>
      <c r="D50" s="7"/>
      <c r="E50" s="8"/>
    </row>
    <row r="51" spans="3:5" x14ac:dyDescent="0.25">
      <c r="C51" s="6"/>
      <c r="D51" s="7"/>
      <c r="E51" s="8"/>
    </row>
    <row r="52" spans="3:5" x14ac:dyDescent="0.25">
      <c r="C52" s="6"/>
      <c r="D52" s="7"/>
      <c r="E52" s="8"/>
    </row>
    <row r="53" spans="3:5" x14ac:dyDescent="0.25">
      <c r="C53" s="6"/>
      <c r="D53" s="7"/>
      <c r="E53" s="8"/>
    </row>
    <row r="54" spans="3:5" x14ac:dyDescent="0.25">
      <c r="C54" s="6"/>
      <c r="D54" s="7"/>
      <c r="E54" s="8"/>
    </row>
    <row r="55" spans="3:5" ht="15.75" thickBot="1" x14ac:dyDescent="0.3">
      <c r="C55" s="9"/>
      <c r="D55" s="10"/>
      <c r="E55" s="11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075F-7354-4A0D-AE2E-D5474D879753}">
  <dimension ref="A1:O31"/>
  <sheetViews>
    <sheetView zoomScale="86" workbookViewId="0">
      <selection activeCell="G47" sqref="G47"/>
    </sheetView>
  </sheetViews>
  <sheetFormatPr baseColWidth="10" defaultColWidth="11.42578125" defaultRowHeight="15" x14ac:dyDescent="0.25"/>
  <cols>
    <col min="7" max="7" width="16.5703125" customWidth="1"/>
    <col min="8" max="8" width="13.42578125" customWidth="1"/>
    <col min="12" max="12" width="12.42578125" customWidth="1"/>
  </cols>
  <sheetData>
    <row r="1" spans="1:15" x14ac:dyDescent="0.25">
      <c r="A1" s="2" t="s">
        <v>62</v>
      </c>
      <c r="B1" s="2" t="s">
        <v>5</v>
      </c>
      <c r="C1" s="2" t="s">
        <v>8</v>
      </c>
      <c r="D1" s="2" t="s">
        <v>357</v>
      </c>
      <c r="E1" s="2" t="s">
        <v>358</v>
      </c>
      <c r="F1" s="2" t="s">
        <v>356</v>
      </c>
      <c r="G1" s="2" t="s">
        <v>355</v>
      </c>
      <c r="H1" s="2" t="s">
        <v>352</v>
      </c>
      <c r="I1" s="2" t="s">
        <v>353</v>
      </c>
      <c r="J1" s="2" t="s">
        <v>354</v>
      </c>
      <c r="K1" s="2" t="s">
        <v>154</v>
      </c>
      <c r="L1" s="2" t="s">
        <v>155</v>
      </c>
      <c r="M1" s="2" t="s">
        <v>156</v>
      </c>
    </row>
    <row r="2" spans="1:15" x14ac:dyDescent="0.25">
      <c r="A2">
        <v>2026</v>
      </c>
      <c r="B2" s="19">
        <f>1/100</f>
        <v>0.01</v>
      </c>
      <c r="C2">
        <v>0.20200000000000001</v>
      </c>
      <c r="D2">
        <v>1</v>
      </c>
      <c r="E2">
        <v>1</v>
      </c>
      <c r="F2">
        <v>2</v>
      </c>
      <c r="G2">
        <v>3</v>
      </c>
      <c r="H2" s="18">
        <f>60/(202217+6073+3405)*100</f>
        <v>2.834266279316942E-2</v>
      </c>
      <c r="I2">
        <v>0</v>
      </c>
      <c r="J2">
        <v>0</v>
      </c>
      <c r="K2" s="25">
        <v>80</v>
      </c>
      <c r="L2" s="25">
        <v>80</v>
      </c>
      <c r="M2" s="25">
        <v>80</v>
      </c>
    </row>
    <row r="3" spans="1:15" x14ac:dyDescent="0.25">
      <c r="A3">
        <v>2027</v>
      </c>
      <c r="B3" s="19">
        <f>(1+0.1719*(A2-A3)^2)/100</f>
        <v>1.1719E-2</v>
      </c>
      <c r="C3">
        <v>0.20200000000000001</v>
      </c>
      <c r="D3">
        <v>2</v>
      </c>
      <c r="E3">
        <v>2</v>
      </c>
      <c r="F3">
        <v>4</v>
      </c>
      <c r="G3">
        <v>5</v>
      </c>
      <c r="H3" s="18">
        <f>120/(199025+5947+3414)*100</f>
        <v>5.7585442400161238E-2</v>
      </c>
      <c r="I3">
        <v>0</v>
      </c>
      <c r="J3">
        <v>0</v>
      </c>
      <c r="K3" s="25">
        <v>88</v>
      </c>
      <c r="L3" s="25">
        <v>82.786665885632303</v>
      </c>
      <c r="M3" s="25">
        <v>130</v>
      </c>
      <c r="O3" s="1"/>
    </row>
    <row r="4" spans="1:15" x14ac:dyDescent="0.25">
      <c r="A4">
        <v>2028</v>
      </c>
      <c r="B4" s="19">
        <f>(1+0.1719*(A2-A4)^2)/100</f>
        <v>1.6875999999999999E-2</v>
      </c>
      <c r="C4">
        <v>0.20200000000000001</v>
      </c>
      <c r="D4">
        <v>3</v>
      </c>
      <c r="E4">
        <v>3</v>
      </c>
      <c r="F4">
        <v>6</v>
      </c>
      <c r="G4">
        <v>8</v>
      </c>
      <c r="H4" s="24">
        <f>220/(199979+5947+3251)*100</f>
        <v>0.10517408701721509</v>
      </c>
      <c r="I4">
        <v>0</v>
      </c>
      <c r="J4">
        <v>0</v>
      </c>
      <c r="K4" s="25">
        <v>97</v>
      </c>
      <c r="L4" s="25">
        <v>89.708296579282504</v>
      </c>
      <c r="M4" s="25">
        <v>185</v>
      </c>
    </row>
    <row r="5" spans="1:15" x14ac:dyDescent="0.25">
      <c r="A5">
        <v>2029</v>
      </c>
      <c r="B5" s="19">
        <f>(1+0.1719*(A2-A5)^2)/100</f>
        <v>2.5471000000000001E-2</v>
      </c>
      <c r="C5">
        <v>0.20200000000000001</v>
      </c>
      <c r="D5">
        <v>5</v>
      </c>
      <c r="E5">
        <v>4</v>
      </c>
      <c r="F5">
        <v>8</v>
      </c>
      <c r="G5">
        <v>13</v>
      </c>
      <c r="H5" s="18">
        <f>447/(209992+5947+3210)*100</f>
        <v>0.2039708143774327</v>
      </c>
      <c r="I5">
        <v>0</v>
      </c>
      <c r="J5">
        <v>0</v>
      </c>
      <c r="K5" s="25">
        <v>108</v>
      </c>
      <c r="L5" s="25">
        <v>94.199581355889293</v>
      </c>
      <c r="M5" s="25">
        <v>220</v>
      </c>
      <c r="O5" s="16"/>
    </row>
    <row r="6" spans="1:15" x14ac:dyDescent="0.25">
      <c r="A6">
        <v>2030</v>
      </c>
      <c r="B6" s="19">
        <f>(1+0.1719*(A2-A6)^2)/100</f>
        <v>3.7504000000000003E-2</v>
      </c>
      <c r="C6">
        <v>0.20200000000000001</v>
      </c>
      <c r="D6">
        <v>7</v>
      </c>
      <c r="E6">
        <v>5</v>
      </c>
      <c r="F6">
        <v>10</v>
      </c>
      <c r="G6">
        <v>21</v>
      </c>
      <c r="H6" s="18">
        <f>507/(223192+5897+3188)*100</f>
        <v>0.218273871282994</v>
      </c>
      <c r="I6">
        <v>0</v>
      </c>
      <c r="J6">
        <v>0</v>
      </c>
      <c r="K6" s="25">
        <v>120</v>
      </c>
      <c r="L6" s="25">
        <v>97.999586047999998</v>
      </c>
      <c r="M6" s="25">
        <v>261</v>
      </c>
      <c r="O6" s="20"/>
    </row>
    <row r="7" spans="1:15" x14ac:dyDescent="0.25">
      <c r="A7">
        <v>2031</v>
      </c>
      <c r="B7" s="19">
        <f>(1+0.1719*(A2-A7)^2)/100</f>
        <v>5.2975000000000001E-2</v>
      </c>
      <c r="C7">
        <v>0.20200000000000001</v>
      </c>
      <c r="D7">
        <v>10</v>
      </c>
      <c r="E7">
        <v>7</v>
      </c>
      <c r="F7">
        <v>13</v>
      </c>
      <c r="G7">
        <v>24</v>
      </c>
      <c r="H7" s="18">
        <f>787/(232996+5777+3030)*100</f>
        <v>0.32547156156044382</v>
      </c>
      <c r="I7">
        <v>0</v>
      </c>
      <c r="J7">
        <v>0</v>
      </c>
      <c r="K7" s="25">
        <v>126</v>
      </c>
      <c r="L7" s="25">
        <v>111.224283671058</v>
      </c>
      <c r="M7" s="25">
        <v>280</v>
      </c>
      <c r="O7" s="20"/>
    </row>
    <row r="8" spans="1:15" x14ac:dyDescent="0.25">
      <c r="A8">
        <v>2032</v>
      </c>
      <c r="B8" s="19">
        <f>(1+0.1719*(A2-A8)^2)/100</f>
        <v>7.1884000000000003E-2</v>
      </c>
      <c r="C8">
        <v>0.20200000000000001</v>
      </c>
      <c r="D8">
        <v>14</v>
      </c>
      <c r="E8">
        <v>9</v>
      </c>
      <c r="F8">
        <v>16</v>
      </c>
      <c r="G8">
        <v>26</v>
      </c>
      <c r="H8" s="18">
        <f>1072/(231947+5789+3093)*100</f>
        <v>0.44512911651005482</v>
      </c>
      <c r="I8">
        <v>0</v>
      </c>
      <c r="J8">
        <v>0</v>
      </c>
      <c r="K8" s="25">
        <v>133</v>
      </c>
      <c r="L8" s="25">
        <v>131.181845885538</v>
      </c>
      <c r="M8" s="25">
        <v>300</v>
      </c>
    </row>
    <row r="9" spans="1:15" x14ac:dyDescent="0.25">
      <c r="A9">
        <v>2033</v>
      </c>
      <c r="B9" s="19">
        <f>(1+0.1719*(A2-A9)^2)/100</f>
        <v>9.4230999999999995E-2</v>
      </c>
      <c r="C9">
        <v>0.20200000000000001</v>
      </c>
      <c r="D9">
        <v>19</v>
      </c>
      <c r="E9">
        <v>12</v>
      </c>
      <c r="F9">
        <v>18</v>
      </c>
      <c r="G9">
        <v>27</v>
      </c>
      <c r="H9" s="18">
        <f>1342/(236095+5781+3093)*100</f>
        <v>0.54782441859990449</v>
      </c>
      <c r="I9">
        <v>0</v>
      </c>
      <c r="J9">
        <v>0</v>
      </c>
      <c r="K9" s="25">
        <v>141</v>
      </c>
      <c r="L9" s="25">
        <v>156.78809085472099</v>
      </c>
      <c r="M9" s="25">
        <v>330</v>
      </c>
    </row>
    <row r="10" spans="1:15" x14ac:dyDescent="0.25">
      <c r="A10">
        <v>2034</v>
      </c>
      <c r="B10" s="19">
        <f>(1+0.1719*(A2-A10)^2)/100</f>
        <v>0.120016</v>
      </c>
      <c r="C10">
        <v>0.20200000000000001</v>
      </c>
      <c r="D10">
        <v>25</v>
      </c>
      <c r="E10">
        <v>15</v>
      </c>
      <c r="F10">
        <v>20</v>
      </c>
      <c r="G10">
        <v>29</v>
      </c>
      <c r="H10" s="18">
        <f>2292/(233237+5696+3002)*100</f>
        <v>0.9473618947237894</v>
      </c>
      <c r="I10">
        <v>0</v>
      </c>
      <c r="J10">
        <v>0</v>
      </c>
      <c r="K10" s="25">
        <v>150</v>
      </c>
      <c r="L10" s="25">
        <v>183.77078989175399</v>
      </c>
      <c r="M10" s="25">
        <v>380</v>
      </c>
    </row>
    <row r="11" spans="1:15" x14ac:dyDescent="0.25">
      <c r="A11">
        <v>2035</v>
      </c>
      <c r="B11" s="19">
        <f>(1+0.1719*(A2-A11)^2)/100</f>
        <v>0.14923900000000001</v>
      </c>
      <c r="C11">
        <v>0.20200000000000001</v>
      </c>
      <c r="D11">
        <v>32</v>
      </c>
      <c r="E11">
        <v>18</v>
      </c>
      <c r="F11">
        <v>22</v>
      </c>
      <c r="G11">
        <v>31</v>
      </c>
      <c r="H11" s="18">
        <f>3092/(247415+5709+2999)*100</f>
        <v>1.2072324625277697</v>
      </c>
      <c r="I11">
        <v>0</v>
      </c>
      <c r="J11">
        <v>0</v>
      </c>
      <c r="K11" s="25">
        <v>159</v>
      </c>
      <c r="L11" s="25">
        <v>211.02665861961299</v>
      </c>
      <c r="M11" s="25">
        <v>400</v>
      </c>
    </row>
    <row r="12" spans="1:15" x14ac:dyDescent="0.25">
      <c r="A12">
        <v>2036</v>
      </c>
      <c r="B12" s="19">
        <f>(1+0.1719*(A2-A12)^2)/100</f>
        <v>0.18190000000000001</v>
      </c>
      <c r="C12">
        <v>0.20200000000000001</v>
      </c>
      <c r="D12">
        <v>39</v>
      </c>
      <c r="E12">
        <v>21</v>
      </c>
      <c r="F12">
        <v>23</v>
      </c>
      <c r="G12">
        <v>33</v>
      </c>
      <c r="H12" s="18">
        <f>4322/(247146+5764+3033)*100</f>
        <v>1.6886572400886135</v>
      </c>
      <c r="I12">
        <v>0</v>
      </c>
      <c r="J12">
        <v>0</v>
      </c>
      <c r="K12" s="25">
        <v>169</v>
      </c>
      <c r="L12" s="25">
        <v>238.08698903057294</v>
      </c>
      <c r="M12" s="25">
        <v>410</v>
      </c>
    </row>
    <row r="13" spans="1:15" x14ac:dyDescent="0.25">
      <c r="A13">
        <v>2037</v>
      </c>
      <c r="B13" s="19">
        <f>(1+0.1719*(A2-A13)^2)/100</f>
        <v>0.217999</v>
      </c>
      <c r="C13">
        <v>0.20200000000000001</v>
      </c>
      <c r="D13">
        <v>46</v>
      </c>
      <c r="E13">
        <v>23</v>
      </c>
      <c r="F13">
        <v>24</v>
      </c>
      <c r="G13">
        <v>35</v>
      </c>
      <c r="H13" s="18">
        <f>4862/(245425+5765+3033)*100</f>
        <v>1.9124941488378313</v>
      </c>
      <c r="I13">
        <v>0</v>
      </c>
      <c r="J13">
        <v>0</v>
      </c>
      <c r="K13" s="25">
        <v>181</v>
      </c>
      <c r="L13" s="25">
        <v>264.51020974760536</v>
      </c>
      <c r="M13" s="25">
        <v>420</v>
      </c>
    </row>
    <row r="14" spans="1:15" x14ac:dyDescent="0.25">
      <c r="A14">
        <v>2038</v>
      </c>
      <c r="B14" s="19">
        <f>(1+0.1719*(A2-A15)^2)/100</f>
        <v>0.30051099999999997</v>
      </c>
      <c r="C14">
        <v>0.20200000000000001</v>
      </c>
      <c r="D14">
        <v>53</v>
      </c>
      <c r="E14">
        <v>25</v>
      </c>
      <c r="F14">
        <v>25</v>
      </c>
      <c r="G14">
        <v>36</v>
      </c>
      <c r="H14" s="18">
        <f>5642/(240011+5797+2853)*100</f>
        <v>2.2689525096416405</v>
      </c>
      <c r="I14">
        <v>0</v>
      </c>
      <c r="J14">
        <v>0</v>
      </c>
      <c r="K14">
        <v>195</v>
      </c>
      <c r="L14" s="25">
        <v>288.79758011384274</v>
      </c>
      <c r="M14" s="25">
        <v>425</v>
      </c>
    </row>
    <row r="15" spans="1:15" x14ac:dyDescent="0.25">
      <c r="A15">
        <v>2039</v>
      </c>
      <c r="B15" s="19">
        <f>(1+0.1719*(A2-A15)^2)/100</f>
        <v>0.30051099999999997</v>
      </c>
      <c r="C15">
        <v>0.20200000000000001</v>
      </c>
      <c r="D15">
        <v>59</v>
      </c>
      <c r="E15">
        <v>26</v>
      </c>
      <c r="F15">
        <v>26</v>
      </c>
      <c r="G15">
        <v>37</v>
      </c>
      <c r="H15" s="18">
        <f>5942/(228740+5795+2828)*100</f>
        <v>2.5033387680472527</v>
      </c>
      <c r="I15">
        <v>0</v>
      </c>
      <c r="J15">
        <v>0</v>
      </c>
      <c r="K15" s="25">
        <v>211</v>
      </c>
      <c r="L15" s="25">
        <v>300.99957621804123</v>
      </c>
      <c r="M15" s="25">
        <v>430</v>
      </c>
    </row>
    <row r="16" spans="1:15" x14ac:dyDescent="0.25">
      <c r="A16">
        <v>2040</v>
      </c>
      <c r="B16" s="19">
        <f>(1+0.1719*(A2-A16)^2)/100</f>
        <v>0.34692400000000001</v>
      </c>
      <c r="C16">
        <v>0.20200000000000001</v>
      </c>
      <c r="D16">
        <v>64</v>
      </c>
      <c r="E16">
        <v>27</v>
      </c>
      <c r="F16">
        <v>27</v>
      </c>
      <c r="G16">
        <v>38</v>
      </c>
      <c r="H16" s="18">
        <f>7382/(218838+5985+2820)*100</f>
        <v>3.2427968353957732</v>
      </c>
      <c r="I16">
        <v>0</v>
      </c>
      <c r="J16">
        <v>0</v>
      </c>
      <c r="K16" s="25">
        <v>227</v>
      </c>
      <c r="L16" s="25">
        <v>305.38871003261175</v>
      </c>
      <c r="M16">
        <v>435</v>
      </c>
    </row>
    <row r="17" spans="1:14" x14ac:dyDescent="0.25">
      <c r="A17">
        <v>2041</v>
      </c>
      <c r="B17" s="19">
        <f>(1+0.1719*(A2-A17)^2)/100</f>
        <v>0.39677500000000004</v>
      </c>
      <c r="C17">
        <v>0.20200000000000001</v>
      </c>
      <c r="D17">
        <v>68</v>
      </c>
      <c r="E17">
        <v>28</v>
      </c>
      <c r="F17">
        <v>28</v>
      </c>
      <c r="G17">
        <v>39</v>
      </c>
      <c r="H17" s="18">
        <f>9412/(210924+5900+2753)*100</f>
        <v>4.2864234414351232</v>
      </c>
      <c r="I17">
        <v>0</v>
      </c>
      <c r="J17">
        <v>0</v>
      </c>
      <c r="K17" s="25">
        <v>245</v>
      </c>
      <c r="L17" s="25">
        <v>311.19461215067878</v>
      </c>
      <c r="M17" s="25">
        <v>440</v>
      </c>
    </row>
    <row r="18" spans="1:14" x14ac:dyDescent="0.25">
      <c r="A18">
        <v>2042</v>
      </c>
      <c r="B18" s="19">
        <f>(1+0.1719*(A2-A18)^2)/100</f>
        <v>0.45006400000000002</v>
      </c>
      <c r="C18">
        <v>0.20200000000000001</v>
      </c>
      <c r="D18">
        <v>71</v>
      </c>
      <c r="E18">
        <v>28</v>
      </c>
      <c r="F18">
        <v>28</v>
      </c>
      <c r="G18">
        <v>40</v>
      </c>
      <c r="H18" s="18">
        <f>11552/(205206+5884+2353)*100</f>
        <v>5.4122177817965449</v>
      </c>
      <c r="I18">
        <v>0</v>
      </c>
      <c r="J18">
        <v>0</v>
      </c>
      <c r="K18" s="25">
        <v>262</v>
      </c>
      <c r="L18" s="25">
        <v>319.89624213683373</v>
      </c>
      <c r="M18" s="25">
        <v>445</v>
      </c>
    </row>
    <row r="19" spans="1:14" x14ac:dyDescent="0.25">
      <c r="A19">
        <v>2043</v>
      </c>
      <c r="B19" s="19">
        <f>(1+0.1719*(A2-A19)^2)/100</f>
        <v>0.50679099999999999</v>
      </c>
      <c r="C19">
        <v>0.20200000000000001</v>
      </c>
      <c r="D19">
        <v>73</v>
      </c>
      <c r="E19">
        <v>27</v>
      </c>
      <c r="F19">
        <v>28</v>
      </c>
      <c r="G19">
        <v>41</v>
      </c>
      <c r="H19" s="18">
        <f>13387/(206885+5619+2353)*100</f>
        <v>6.2306557384679113</v>
      </c>
      <c r="I19">
        <v>0</v>
      </c>
      <c r="J19">
        <v>0</v>
      </c>
      <c r="K19" s="25">
        <v>279</v>
      </c>
      <c r="L19" s="25">
        <v>329.95643893995231</v>
      </c>
      <c r="M19" s="25">
        <v>450</v>
      </c>
    </row>
    <row r="20" spans="1:14" x14ac:dyDescent="0.25">
      <c r="A20">
        <v>2044</v>
      </c>
      <c r="B20" s="19">
        <f>(1+0.1719*(A2-A20)^2)/100</f>
        <v>0.56695600000000002</v>
      </c>
      <c r="C20">
        <v>0.20200000000000001</v>
      </c>
      <c r="D20">
        <v>74</v>
      </c>
      <c r="E20">
        <v>26</v>
      </c>
      <c r="F20">
        <v>28</v>
      </c>
      <c r="G20">
        <v>42</v>
      </c>
      <c r="H20" s="18">
        <f>16672/(202937+5632+2353)*100</f>
        <v>7.9043437858544872</v>
      </c>
      <c r="I20">
        <v>0</v>
      </c>
      <c r="J20">
        <v>0</v>
      </c>
      <c r="K20" s="25">
        <v>295</v>
      </c>
      <c r="L20" s="25">
        <v>340.28677129307425</v>
      </c>
      <c r="M20" s="25">
        <v>455</v>
      </c>
    </row>
    <row r="21" spans="1:14" x14ac:dyDescent="0.25">
      <c r="A21">
        <v>2045</v>
      </c>
      <c r="B21" s="19">
        <f>(1+0.1719*(A2-A21)^2)/100</f>
        <v>0.63055899999999998</v>
      </c>
      <c r="C21">
        <v>0.20200000000000001</v>
      </c>
      <c r="D21">
        <v>73</v>
      </c>
      <c r="E21">
        <v>26</v>
      </c>
      <c r="F21">
        <v>29</v>
      </c>
      <c r="G21">
        <v>43</v>
      </c>
      <c r="H21" s="18">
        <f>20607/(201376+5631+2353)*100</f>
        <v>9.8428544134505156</v>
      </c>
      <c r="I21">
        <v>0</v>
      </c>
      <c r="J21">
        <v>0</v>
      </c>
      <c r="K21" s="25">
        <v>312</v>
      </c>
      <c r="L21" s="25">
        <v>350.32853261653543</v>
      </c>
      <c r="M21" s="25">
        <v>460</v>
      </c>
    </row>
    <row r="22" spans="1:14" x14ac:dyDescent="0.25">
      <c r="A22">
        <v>2046</v>
      </c>
      <c r="B22" s="19">
        <f>(1+0.1719*(A2-A22)^2)/100</f>
        <v>0.6976</v>
      </c>
      <c r="C22">
        <v>0.20200000000000001</v>
      </c>
      <c r="D22">
        <v>72</v>
      </c>
      <c r="E22">
        <v>26</v>
      </c>
      <c r="F22">
        <v>29</v>
      </c>
      <c r="G22">
        <v>43</v>
      </c>
      <c r="H22" s="18">
        <f>23372/(200773+5630+2353)*100</f>
        <v>11.195845867903198</v>
      </c>
      <c r="I22">
        <v>0</v>
      </c>
      <c r="J22">
        <v>0</v>
      </c>
      <c r="K22" s="25">
        <v>327</v>
      </c>
      <c r="L22" s="25">
        <v>359.81403573037062</v>
      </c>
      <c r="M22" s="25">
        <v>464</v>
      </c>
    </row>
    <row r="23" spans="1:14" x14ac:dyDescent="0.25">
      <c r="A23">
        <v>2047</v>
      </c>
      <c r="B23" s="19">
        <f>(1+0.1719*(A2-A23)^2)/100</f>
        <v>0.76807900000000007</v>
      </c>
      <c r="C23">
        <v>0.20200000000000001</v>
      </c>
      <c r="D23">
        <v>71</v>
      </c>
      <c r="E23">
        <v>25</v>
      </c>
      <c r="F23">
        <v>29</v>
      </c>
      <c r="G23">
        <v>44</v>
      </c>
      <c r="H23" s="18">
        <f>24317/(196093+5622+2353)*100</f>
        <v>11.916125997216614</v>
      </c>
      <c r="I23">
        <v>0</v>
      </c>
      <c r="J23">
        <v>0</v>
      </c>
      <c r="K23" s="25">
        <v>342</v>
      </c>
      <c r="L23" s="25">
        <v>368.42082962055105</v>
      </c>
      <c r="M23" s="25">
        <v>467</v>
      </c>
    </row>
    <row r="24" spans="1:14" x14ac:dyDescent="0.25">
      <c r="A24">
        <v>2048</v>
      </c>
      <c r="B24" s="19">
        <f>(1+0.1719*(A2-A24)^2)/100</f>
        <v>0.84199600000000008</v>
      </c>
      <c r="C24">
        <v>0.20200000000000001</v>
      </c>
      <c r="D24">
        <v>71</v>
      </c>
      <c r="E24">
        <v>25</v>
      </c>
      <c r="F24">
        <v>29</v>
      </c>
      <c r="G24">
        <v>44</v>
      </c>
      <c r="H24" s="18">
        <f>27552/(196354+5619+2323)*100</f>
        <v>13.486313975799819</v>
      </c>
      <c r="I24">
        <v>0</v>
      </c>
      <c r="J24">
        <v>0</v>
      </c>
      <c r="K24" s="25">
        <v>356</v>
      </c>
      <c r="L24" s="25">
        <v>376.18236299340958</v>
      </c>
      <c r="M24" s="25">
        <v>470</v>
      </c>
    </row>
    <row r="25" spans="1:14" x14ac:dyDescent="0.25">
      <c r="A25">
        <v>2049</v>
      </c>
      <c r="B25" s="19">
        <f>(1+0.1719*(A2-A25)^2)/100</f>
        <v>0.91935100000000003</v>
      </c>
      <c r="C25">
        <v>0.20200000000000001</v>
      </c>
      <c r="D25">
        <v>70</v>
      </c>
      <c r="E25">
        <v>25</v>
      </c>
      <c r="F25">
        <v>29</v>
      </c>
      <c r="G25">
        <v>45</v>
      </c>
      <c r="H25" s="18">
        <f>30052/(197788+5619+2175)*100</f>
        <v>14.618011304491638</v>
      </c>
      <c r="I25">
        <v>0</v>
      </c>
      <c r="J25">
        <v>0</v>
      </c>
      <c r="K25" s="25">
        <v>368</v>
      </c>
      <c r="L25" s="25">
        <v>383.15257074956276</v>
      </c>
      <c r="M25" s="25">
        <v>473</v>
      </c>
    </row>
    <row r="26" spans="1:14" x14ac:dyDescent="0.25">
      <c r="A26">
        <v>2050</v>
      </c>
      <c r="B26" s="19">
        <f>(1+0.1719*(A2-A26)^2)/100</f>
        <v>1.0001439999999999</v>
      </c>
      <c r="C26">
        <v>0.20200000000000001</v>
      </c>
      <c r="D26">
        <v>70</v>
      </c>
      <c r="E26">
        <v>25</v>
      </c>
      <c r="F26">
        <v>29</v>
      </c>
      <c r="G26">
        <v>45</v>
      </c>
      <c r="H26" s="18">
        <f>30127/(197616+5455+2175)*100</f>
        <v>14.678483380918509</v>
      </c>
      <c r="I26">
        <v>0</v>
      </c>
      <c r="J26">
        <v>0</v>
      </c>
      <c r="K26">
        <v>379</v>
      </c>
      <c r="L26" s="25">
        <v>389.43894440381348</v>
      </c>
      <c r="M26">
        <v>475</v>
      </c>
    </row>
    <row r="27" spans="1:14" x14ac:dyDescent="0.25">
      <c r="A27" s="17" t="s">
        <v>63</v>
      </c>
      <c r="B27" s="1"/>
      <c r="C27" s="20" t="s">
        <v>87</v>
      </c>
      <c r="D27" s="20" t="s">
        <v>132</v>
      </c>
      <c r="E27" s="20" t="s">
        <v>132</v>
      </c>
      <c r="F27" s="20" t="s">
        <v>132</v>
      </c>
      <c r="G27" s="20" t="s">
        <v>132</v>
      </c>
      <c r="H27" s="20" t="s">
        <v>114</v>
      </c>
      <c r="I27" t="s">
        <v>97</v>
      </c>
      <c r="J27" t="s">
        <v>97</v>
      </c>
      <c r="K27" s="20" t="s">
        <v>186</v>
      </c>
      <c r="L27" s="20" t="s">
        <v>114</v>
      </c>
      <c r="M27" s="20" t="s">
        <v>185</v>
      </c>
      <c r="N27" s="1" t="s">
        <v>140</v>
      </c>
    </row>
    <row r="28" spans="1:14" x14ac:dyDescent="0.25">
      <c r="D28" t="s">
        <v>58</v>
      </c>
      <c r="E28" t="s">
        <v>58</v>
      </c>
      <c r="F28" t="s">
        <v>58</v>
      </c>
      <c r="G28" t="s">
        <v>58</v>
      </c>
      <c r="H28" t="s">
        <v>58</v>
      </c>
      <c r="I28" t="s">
        <v>58</v>
      </c>
      <c r="J28" t="s">
        <v>58</v>
      </c>
      <c r="M28" s="20"/>
    </row>
    <row r="31" spans="1:14" x14ac:dyDescent="0.25">
      <c r="D31" s="20"/>
    </row>
  </sheetData>
  <hyperlinks>
    <hyperlink ref="C27" r:id="rId1" location="sources-and-processing" xr:uid="{7262B49E-C512-FB47-8497-66C9F314FB59}"/>
    <hyperlink ref="F27" r:id="rId2" xr:uid="{A9DD5B37-74B5-894E-A084-EC6CDF868ABB}"/>
    <hyperlink ref="H27" r:id="rId3" xr:uid="{CCD0C6C1-C285-AC43-B508-41689A77EFAC}"/>
    <hyperlink ref="L27" r:id="rId4" xr:uid="{E84530A7-D738-6E45-8755-3C1606777671}"/>
    <hyperlink ref="M27" r:id="rId5" xr:uid="{714AEE49-BE91-764B-8F25-0D54E6615C2A}"/>
    <hyperlink ref="K27" r:id="rId6" xr:uid="{900F3E2D-6AAB-784C-87FE-CA7D8B99BDBB}"/>
    <hyperlink ref="G27" r:id="rId7" xr:uid="{31EB20C4-A019-C742-85B9-7FFCEC3E4634}"/>
  </hyperlinks>
  <pageMargins left="0.7" right="0.7" top="0.78740157499999996" bottom="0.78740157499999996" header="0.3" footer="0.3"/>
  <legacy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FFB3-1910-C845-821F-AA37D4E33048}">
  <dimension ref="A1:I115"/>
  <sheetViews>
    <sheetView zoomScale="92" workbookViewId="0">
      <selection activeCell="D10" sqref="D10"/>
    </sheetView>
  </sheetViews>
  <sheetFormatPr baseColWidth="10" defaultColWidth="11.42578125" defaultRowHeight="15" x14ac:dyDescent="0.25"/>
  <cols>
    <col min="2" max="2" width="18.42578125" customWidth="1"/>
    <col min="3" max="3" width="17" customWidth="1"/>
    <col min="4" max="4" width="19.5703125" customWidth="1"/>
    <col min="5" max="5" width="37.5703125" customWidth="1"/>
    <col min="6" max="6" width="120.42578125" customWidth="1"/>
  </cols>
  <sheetData>
    <row r="1" spans="1:6" x14ac:dyDescent="0.25">
      <c r="A1" s="2" t="s">
        <v>62</v>
      </c>
      <c r="B1" s="2" t="s">
        <v>15</v>
      </c>
      <c r="C1" s="2" t="s">
        <v>18</v>
      </c>
      <c r="D1" s="2" t="s">
        <v>20</v>
      </c>
      <c r="E1" s="2" t="s">
        <v>64</v>
      </c>
      <c r="F1" s="2" t="s">
        <v>116</v>
      </c>
    </row>
    <row r="2" spans="1:6" x14ac:dyDescent="0.25">
      <c r="A2">
        <v>2025</v>
      </c>
      <c r="B2" t="s">
        <v>65</v>
      </c>
      <c r="C2" t="s">
        <v>67</v>
      </c>
      <c r="D2" s="19">
        <f>28/3.6</f>
        <v>7.7777777777777777</v>
      </c>
      <c r="E2" s="20" t="s">
        <v>126</v>
      </c>
      <c r="F2" t="s">
        <v>129</v>
      </c>
    </row>
    <row r="3" spans="1:6" x14ac:dyDescent="0.25">
      <c r="A3">
        <v>2025</v>
      </c>
      <c r="B3" t="s">
        <v>65</v>
      </c>
      <c r="C3" t="s">
        <v>68</v>
      </c>
      <c r="D3" s="19">
        <f>2.67</f>
        <v>2.67</v>
      </c>
      <c r="E3" s="20" t="s">
        <v>126</v>
      </c>
      <c r="F3" t="s">
        <v>131</v>
      </c>
    </row>
    <row r="4" spans="1:6" x14ac:dyDescent="0.25">
      <c r="A4">
        <v>2025</v>
      </c>
      <c r="B4" t="s">
        <v>65</v>
      </c>
      <c r="C4" t="s">
        <v>69</v>
      </c>
      <c r="D4" s="19">
        <f>(27+10)/1000</f>
        <v>3.6999999999999998E-2</v>
      </c>
      <c r="E4" s="20" t="s">
        <v>124</v>
      </c>
      <c r="F4" t="s">
        <v>125</v>
      </c>
    </row>
    <row r="5" spans="1:6" x14ac:dyDescent="0.25">
      <c r="A5">
        <v>2025</v>
      </c>
      <c r="B5" t="s">
        <v>70</v>
      </c>
      <c r="C5" t="s">
        <v>67</v>
      </c>
      <c r="D5" s="19">
        <f>108002.01194/1000</f>
        <v>108.00201194</v>
      </c>
      <c r="E5" s="20" t="s">
        <v>118</v>
      </c>
      <c r="F5" t="s">
        <v>123</v>
      </c>
    </row>
    <row r="6" spans="1:6" x14ac:dyDescent="0.25">
      <c r="A6">
        <v>2025</v>
      </c>
      <c r="B6" t="s">
        <v>70</v>
      </c>
      <c r="C6" t="s">
        <v>68</v>
      </c>
      <c r="D6" s="19">
        <f>92367.37174/1000</f>
        <v>92.367371739999996</v>
      </c>
      <c r="E6" s="20" t="s">
        <v>118</v>
      </c>
      <c r="F6" t="s">
        <v>122</v>
      </c>
    </row>
    <row r="7" spans="1:6" x14ac:dyDescent="0.25">
      <c r="A7">
        <v>2025</v>
      </c>
      <c r="B7" t="s">
        <v>70</v>
      </c>
      <c r="C7" t="s">
        <v>69</v>
      </c>
      <c r="D7" s="19">
        <f>(306984.86711+84484.70625)/1000</f>
        <v>391.46957335999997</v>
      </c>
      <c r="E7" s="20" t="s">
        <v>118</v>
      </c>
      <c r="F7" t="s">
        <v>121</v>
      </c>
    </row>
    <row r="8" spans="1:6" x14ac:dyDescent="0.25">
      <c r="A8">
        <v>2025</v>
      </c>
      <c r="B8" t="s">
        <v>66</v>
      </c>
      <c r="C8" t="s">
        <v>67</v>
      </c>
      <c r="D8" s="19">
        <f>76029.7465155539*0.01163</f>
        <v>884.2259519758918</v>
      </c>
      <c r="E8" s="20" t="s">
        <v>114</v>
      </c>
      <c r="F8" t="s">
        <v>119</v>
      </c>
    </row>
    <row r="9" spans="1:6" x14ac:dyDescent="0.25">
      <c r="A9">
        <v>2025</v>
      </c>
      <c r="B9" t="s">
        <v>66</v>
      </c>
      <c r="C9" t="s">
        <v>68</v>
      </c>
      <c r="D9" s="19">
        <f>(512731.305090136+32085+13246)/1000</f>
        <v>558.06230509013596</v>
      </c>
      <c r="E9" s="20" t="s">
        <v>114</v>
      </c>
      <c r="F9" t="s">
        <v>120</v>
      </c>
    </row>
    <row r="10" spans="1:6" x14ac:dyDescent="0.25">
      <c r="A10">
        <v>2025</v>
      </c>
      <c r="B10" t="s">
        <v>66</v>
      </c>
      <c r="C10" t="s">
        <v>69</v>
      </c>
      <c r="D10" s="19">
        <f>((4779+64753)+(1341+33309))*0.01163</f>
        <v>1211.6366599999999</v>
      </c>
      <c r="E10" s="20" t="s">
        <v>114</v>
      </c>
      <c r="F10" t="s">
        <v>117</v>
      </c>
    </row>
    <row r="11" spans="1:6" x14ac:dyDescent="0.25">
      <c r="A11">
        <v>2030</v>
      </c>
      <c r="B11" t="s">
        <v>65</v>
      </c>
      <c r="C11" t="s">
        <v>67</v>
      </c>
      <c r="D11" s="19">
        <f>21.5/3.6</f>
        <v>5.9722222222222223</v>
      </c>
      <c r="E11" s="20" t="s">
        <v>126</v>
      </c>
      <c r="F11" t="s">
        <v>130</v>
      </c>
    </row>
    <row r="12" spans="1:6" x14ac:dyDescent="0.25">
      <c r="A12">
        <v>2030</v>
      </c>
      <c r="B12" t="s">
        <v>65</v>
      </c>
      <c r="C12" t="s">
        <v>68</v>
      </c>
      <c r="D12" s="19">
        <v>2.14</v>
      </c>
      <c r="E12" s="20" t="s">
        <v>126</v>
      </c>
    </row>
    <row r="13" spans="1:6" x14ac:dyDescent="0.25">
      <c r="A13">
        <v>2030</v>
      </c>
      <c r="B13" t="s">
        <v>65</v>
      </c>
      <c r="C13" t="s">
        <v>69</v>
      </c>
      <c r="D13" s="19">
        <v>0</v>
      </c>
      <c r="E13" t="s">
        <v>127</v>
      </c>
      <c r="F13" t="s">
        <v>128</v>
      </c>
    </row>
    <row r="14" spans="1:6" x14ac:dyDescent="0.25">
      <c r="A14">
        <v>2030</v>
      </c>
      <c r="B14" t="s">
        <v>70</v>
      </c>
      <c r="C14" t="s">
        <v>67</v>
      </c>
      <c r="D14" s="19">
        <f>83808.51264/1000</f>
        <v>83.808512640000004</v>
      </c>
      <c r="E14" s="20" t="s">
        <v>118</v>
      </c>
      <c r="F14" t="s">
        <v>123</v>
      </c>
    </row>
    <row r="15" spans="1:6" x14ac:dyDescent="0.25">
      <c r="A15">
        <v>2030</v>
      </c>
      <c r="B15" t="s">
        <v>70</v>
      </c>
      <c r="C15" t="s">
        <v>68</v>
      </c>
      <c r="D15" s="19">
        <f>59066.88433/1000</f>
        <v>59.066884330000001</v>
      </c>
      <c r="E15" s="20" t="s">
        <v>118</v>
      </c>
      <c r="F15" t="s">
        <v>122</v>
      </c>
    </row>
    <row r="16" spans="1:6" x14ac:dyDescent="0.25">
      <c r="A16">
        <v>2030</v>
      </c>
      <c r="B16" t="s">
        <v>70</v>
      </c>
      <c r="C16" t="s">
        <v>69</v>
      </c>
      <c r="D16" s="19">
        <f>(304612.30516+74920.18644)/1000</f>
        <v>379.53249160000001</v>
      </c>
      <c r="E16" s="20" t="s">
        <v>118</v>
      </c>
      <c r="F16" t="s">
        <v>121</v>
      </c>
    </row>
    <row r="17" spans="1:6" x14ac:dyDescent="0.25">
      <c r="A17">
        <v>2030</v>
      </c>
      <c r="B17" t="s">
        <v>66</v>
      </c>
      <c r="C17" t="s">
        <v>67</v>
      </c>
      <c r="D17" s="19">
        <f>59349.0264746045*0.01163</f>
        <v>690.22917789965027</v>
      </c>
      <c r="E17" s="20" t="s">
        <v>114</v>
      </c>
      <c r="F17" t="s">
        <v>119</v>
      </c>
    </row>
    <row r="18" spans="1:6" x14ac:dyDescent="0.25">
      <c r="A18">
        <v>2030</v>
      </c>
      <c r="B18" t="s">
        <v>66</v>
      </c>
      <c r="C18" t="s">
        <v>68</v>
      </c>
      <c r="D18" s="19">
        <f>(436539+21487+8798)/1000</f>
        <v>466.82400000000001</v>
      </c>
      <c r="E18" s="20" t="s">
        <v>114</v>
      </c>
      <c r="F18" t="s">
        <v>120</v>
      </c>
    </row>
    <row r="19" spans="1:6" x14ac:dyDescent="0.25">
      <c r="A19">
        <v>2030</v>
      </c>
      <c r="B19" t="s">
        <v>66</v>
      </c>
      <c r="C19" t="s">
        <v>69</v>
      </c>
      <c r="D19" s="19">
        <f>((2365+38938)+(561+17215))*0.01163</f>
        <v>687.08876999999995</v>
      </c>
      <c r="E19" s="20" t="s">
        <v>114</v>
      </c>
      <c r="F19" t="s">
        <v>117</v>
      </c>
    </row>
    <row r="20" spans="1:6" x14ac:dyDescent="0.25">
      <c r="A20" s="22">
        <v>2035</v>
      </c>
      <c r="B20" s="22" t="s">
        <v>65</v>
      </c>
      <c r="C20" s="22" t="s">
        <v>67</v>
      </c>
      <c r="D20" s="19">
        <f>15/3.6</f>
        <v>4.166666666666667</v>
      </c>
      <c r="E20" s="20" t="s">
        <v>126</v>
      </c>
    </row>
    <row r="21" spans="1:6" x14ac:dyDescent="0.25">
      <c r="A21" s="22">
        <v>2035</v>
      </c>
      <c r="B21" s="22" t="s">
        <v>65</v>
      </c>
      <c r="C21" s="22" t="s">
        <v>68</v>
      </c>
      <c r="D21" s="19">
        <v>1.6</v>
      </c>
      <c r="E21" s="20" t="s">
        <v>126</v>
      </c>
    </row>
    <row r="22" spans="1:6" x14ac:dyDescent="0.25">
      <c r="A22" s="22">
        <v>2035</v>
      </c>
      <c r="B22" s="22" t="s">
        <v>65</v>
      </c>
      <c r="C22" s="22" t="s">
        <v>69</v>
      </c>
      <c r="D22" s="19">
        <v>0</v>
      </c>
      <c r="E22" t="s">
        <v>127</v>
      </c>
      <c r="F22" t="s">
        <v>128</v>
      </c>
    </row>
    <row r="23" spans="1:6" x14ac:dyDescent="0.25">
      <c r="A23" s="22">
        <v>2035</v>
      </c>
      <c r="B23" s="22" t="s">
        <v>70</v>
      </c>
      <c r="C23" s="22" t="s">
        <v>67</v>
      </c>
      <c r="D23" s="19">
        <f>49879.76929/1000</f>
        <v>49.879769289999999</v>
      </c>
      <c r="E23" s="20" t="s">
        <v>118</v>
      </c>
      <c r="F23" t="s">
        <v>123</v>
      </c>
    </row>
    <row r="24" spans="1:6" x14ac:dyDescent="0.25">
      <c r="A24" s="22">
        <v>2035</v>
      </c>
      <c r="B24" s="22" t="s">
        <v>70</v>
      </c>
      <c r="C24" s="22" t="s">
        <v>68</v>
      </c>
      <c r="D24" s="19">
        <f>58785.07618/1000</f>
        <v>58.785076179999997</v>
      </c>
      <c r="E24" s="20" t="s">
        <v>118</v>
      </c>
      <c r="F24" t="s">
        <v>122</v>
      </c>
    </row>
    <row r="25" spans="1:6" x14ac:dyDescent="0.25">
      <c r="A25" s="22">
        <v>2035</v>
      </c>
      <c r="B25" s="22" t="s">
        <v>70</v>
      </c>
      <c r="C25" s="22" t="s">
        <v>69</v>
      </c>
      <c r="D25" s="19">
        <f>(231931.47942+63918.38921)/1000</f>
        <v>295.84986863</v>
      </c>
      <c r="E25" s="20" t="s">
        <v>118</v>
      </c>
      <c r="F25" t="s">
        <v>121</v>
      </c>
    </row>
    <row r="26" spans="1:6" x14ac:dyDescent="0.25">
      <c r="A26" s="22">
        <v>2035</v>
      </c>
      <c r="B26" s="22" t="s">
        <v>66</v>
      </c>
      <c r="C26" s="22" t="s">
        <v>67</v>
      </c>
      <c r="D26" s="19">
        <f>44288.3805839263*0.01163</f>
        <v>515.07386619106285</v>
      </c>
      <c r="E26" s="20" t="s">
        <v>114</v>
      </c>
      <c r="F26" t="s">
        <v>119</v>
      </c>
    </row>
    <row r="27" spans="1:6" x14ac:dyDescent="0.25">
      <c r="A27" s="22">
        <v>2035</v>
      </c>
      <c r="B27" s="22" t="s">
        <v>66</v>
      </c>
      <c r="C27" s="22" t="s">
        <v>68</v>
      </c>
      <c r="D27" s="19">
        <f>(308411+14937+5045)/1000</f>
        <v>328.39299999999997</v>
      </c>
      <c r="E27" s="20" t="s">
        <v>114</v>
      </c>
      <c r="F27" t="s">
        <v>120</v>
      </c>
    </row>
    <row r="28" spans="1:6" x14ac:dyDescent="0.25">
      <c r="A28" s="22">
        <v>2035</v>
      </c>
      <c r="B28" s="22" t="s">
        <v>66</v>
      </c>
      <c r="C28" s="22" t="s">
        <v>69</v>
      </c>
      <c r="D28" s="19">
        <f>((1307+16685)+(135+6342))*0.01163</f>
        <v>284.57447000000002</v>
      </c>
      <c r="E28" s="20" t="s">
        <v>114</v>
      </c>
      <c r="F28" t="s">
        <v>117</v>
      </c>
    </row>
    <row r="29" spans="1:6" x14ac:dyDescent="0.25">
      <c r="A29" s="22">
        <v>2040</v>
      </c>
      <c r="B29" s="22" t="s">
        <v>65</v>
      </c>
      <c r="C29" s="22" t="s">
        <v>67</v>
      </c>
      <c r="D29" s="19">
        <f>15/3.6</f>
        <v>4.166666666666667</v>
      </c>
      <c r="E29" s="20" t="s">
        <v>126</v>
      </c>
    </row>
    <row r="30" spans="1:6" x14ac:dyDescent="0.25">
      <c r="A30" s="22">
        <v>2040</v>
      </c>
      <c r="B30" s="22" t="s">
        <v>65</v>
      </c>
      <c r="C30" s="22" t="s">
        <v>68</v>
      </c>
      <c r="D30" s="19">
        <v>1.07</v>
      </c>
      <c r="E30" s="20" t="s">
        <v>126</v>
      </c>
    </row>
    <row r="31" spans="1:6" x14ac:dyDescent="0.25">
      <c r="A31" s="22">
        <v>2040</v>
      </c>
      <c r="B31" s="22" t="s">
        <v>65</v>
      </c>
      <c r="C31" s="22" t="s">
        <v>69</v>
      </c>
      <c r="D31" s="19">
        <v>0</v>
      </c>
      <c r="E31" t="s">
        <v>127</v>
      </c>
      <c r="F31" t="s">
        <v>128</v>
      </c>
    </row>
    <row r="32" spans="1:6" x14ac:dyDescent="0.25">
      <c r="A32" s="22">
        <v>2040</v>
      </c>
      <c r="B32" s="22" t="s">
        <v>70</v>
      </c>
      <c r="C32" s="22" t="s">
        <v>67</v>
      </c>
      <c r="D32" s="19">
        <f>26076.37044/1000</f>
        <v>26.076370439999998</v>
      </c>
      <c r="E32" s="20" t="s">
        <v>118</v>
      </c>
      <c r="F32" t="s">
        <v>123</v>
      </c>
    </row>
    <row r="33" spans="1:6" x14ac:dyDescent="0.25">
      <c r="A33" s="22">
        <v>2040</v>
      </c>
      <c r="B33" s="22" t="s">
        <v>70</v>
      </c>
      <c r="C33" s="22" t="s">
        <v>68</v>
      </c>
      <c r="D33" s="19">
        <f>98919.26038/1000</f>
        <v>98.919260380000011</v>
      </c>
      <c r="E33" s="20" t="s">
        <v>118</v>
      </c>
      <c r="F33" t="s">
        <v>122</v>
      </c>
    </row>
    <row r="34" spans="1:6" x14ac:dyDescent="0.25">
      <c r="A34" s="22">
        <v>2040</v>
      </c>
      <c r="B34" s="22" t="s">
        <v>70</v>
      </c>
      <c r="C34" s="22" t="s">
        <v>69</v>
      </c>
      <c r="D34" s="19">
        <f>(125394.01788+38683.81774)/1000</f>
        <v>164.07783562</v>
      </c>
      <c r="E34" s="20" t="s">
        <v>118</v>
      </c>
      <c r="F34" t="s">
        <v>121</v>
      </c>
    </row>
    <row r="35" spans="1:6" x14ac:dyDescent="0.25">
      <c r="A35" s="22">
        <v>2040</v>
      </c>
      <c r="B35" s="22" t="s">
        <v>66</v>
      </c>
      <c r="C35" s="22" t="s">
        <v>67</v>
      </c>
      <c r="D35" s="19">
        <f>30713.3540662041*0.01163</f>
        <v>357.19630778995366</v>
      </c>
      <c r="E35" s="20" t="s">
        <v>114</v>
      </c>
      <c r="F35" t="s">
        <v>119</v>
      </c>
    </row>
    <row r="36" spans="1:6" x14ac:dyDescent="0.25">
      <c r="A36" s="22">
        <v>2040</v>
      </c>
      <c r="B36" s="22" t="s">
        <v>66</v>
      </c>
      <c r="C36" s="22" t="s">
        <v>68</v>
      </c>
      <c r="D36" s="19">
        <f>(246827+6065+159)/1000</f>
        <v>253.05099999999999</v>
      </c>
      <c r="E36" s="20" t="s">
        <v>114</v>
      </c>
      <c r="F36" t="s">
        <v>120</v>
      </c>
    </row>
    <row r="37" spans="1:6" x14ac:dyDescent="0.25">
      <c r="A37" s="22">
        <v>2040</v>
      </c>
      <c r="B37" s="22" t="s">
        <v>66</v>
      </c>
      <c r="C37" s="22" t="s">
        <v>69</v>
      </c>
      <c r="D37" s="19">
        <f>((762+4941)+(96+1713))*0.01163</f>
        <v>87.364559999999997</v>
      </c>
      <c r="E37" s="20" t="s">
        <v>114</v>
      </c>
      <c r="F37" t="s">
        <v>117</v>
      </c>
    </row>
    <row r="38" spans="1:6" x14ac:dyDescent="0.25">
      <c r="A38" s="22">
        <v>2045</v>
      </c>
      <c r="B38" s="22" t="s">
        <v>65</v>
      </c>
      <c r="C38" s="22" t="s">
        <v>67</v>
      </c>
      <c r="D38" s="19">
        <f>15/3.6</f>
        <v>4.166666666666667</v>
      </c>
      <c r="E38" s="20" t="s">
        <v>126</v>
      </c>
    </row>
    <row r="39" spans="1:6" x14ac:dyDescent="0.25">
      <c r="A39" s="22">
        <v>2045</v>
      </c>
      <c r="B39" s="22" t="s">
        <v>65</v>
      </c>
      <c r="C39" s="22" t="s">
        <v>68</v>
      </c>
      <c r="D39" s="19">
        <v>0.53</v>
      </c>
      <c r="E39" s="20" t="s">
        <v>126</v>
      </c>
    </row>
    <row r="40" spans="1:6" x14ac:dyDescent="0.25">
      <c r="A40" s="22">
        <v>2045</v>
      </c>
      <c r="B40" s="22" t="s">
        <v>65</v>
      </c>
      <c r="C40" s="22" t="s">
        <v>69</v>
      </c>
      <c r="D40" s="19">
        <v>0</v>
      </c>
      <c r="E40" t="s">
        <v>127</v>
      </c>
      <c r="F40" t="s">
        <v>128</v>
      </c>
    </row>
    <row r="41" spans="1:6" x14ac:dyDescent="0.25">
      <c r="A41" s="22">
        <v>2045</v>
      </c>
      <c r="B41" s="22" t="s">
        <v>70</v>
      </c>
      <c r="C41" s="22" t="s">
        <v>67</v>
      </c>
      <c r="D41" s="19">
        <f>17885.7163/1000</f>
        <v>17.885716299999999</v>
      </c>
      <c r="E41" s="20" t="s">
        <v>118</v>
      </c>
      <c r="F41" t="s">
        <v>123</v>
      </c>
    </row>
    <row r="42" spans="1:6" x14ac:dyDescent="0.25">
      <c r="A42" s="22">
        <v>2045</v>
      </c>
      <c r="B42" s="22" t="s">
        <v>70</v>
      </c>
      <c r="C42" s="22" t="s">
        <v>68</v>
      </c>
      <c r="D42" s="19">
        <f>105580.62756/1000</f>
        <v>105.58062756</v>
      </c>
      <c r="E42" s="20" t="s">
        <v>118</v>
      </c>
      <c r="F42" t="s">
        <v>122</v>
      </c>
    </row>
    <row r="43" spans="1:6" x14ac:dyDescent="0.25">
      <c r="A43" s="22">
        <v>2045</v>
      </c>
      <c r="B43" s="22" t="s">
        <v>70</v>
      </c>
      <c r="C43" s="22" t="s">
        <v>69</v>
      </c>
      <c r="D43" s="19">
        <f>(44374.63135+17534.83069)/1000</f>
        <v>61.909462040000001</v>
      </c>
      <c r="E43" s="20" t="s">
        <v>118</v>
      </c>
      <c r="F43" t="s">
        <v>121</v>
      </c>
    </row>
    <row r="44" spans="1:6" x14ac:dyDescent="0.25">
      <c r="A44" s="22">
        <v>2045</v>
      </c>
      <c r="B44" s="22" t="s">
        <v>66</v>
      </c>
      <c r="C44" s="22" t="s">
        <v>67</v>
      </c>
      <c r="D44" s="19">
        <f>22877.2405523608*0.01163</f>
        <v>266.06230762395609</v>
      </c>
      <c r="E44" s="20" t="s">
        <v>114</v>
      </c>
      <c r="F44" t="s">
        <v>119</v>
      </c>
    </row>
    <row r="45" spans="1:6" x14ac:dyDescent="0.25">
      <c r="A45" s="22">
        <v>2045</v>
      </c>
      <c r="B45" s="22" t="s">
        <v>66</v>
      </c>
      <c r="C45" s="22" t="s">
        <v>68</v>
      </c>
      <c r="D45" s="19">
        <f>(191342+2597+14)/1000</f>
        <v>193.953</v>
      </c>
      <c r="E45" s="20" t="s">
        <v>114</v>
      </c>
      <c r="F45" t="s">
        <v>120</v>
      </c>
    </row>
    <row r="46" spans="1:6" x14ac:dyDescent="0.25">
      <c r="A46" s="22">
        <v>2045</v>
      </c>
      <c r="B46" s="22" t="s">
        <v>66</v>
      </c>
      <c r="C46" s="22" t="s">
        <v>69</v>
      </c>
      <c r="D46" s="19">
        <f>((683+4708)+(119+3092))*0.01163</f>
        <v>100.04125999999999</v>
      </c>
      <c r="E46" s="20" t="s">
        <v>114</v>
      </c>
      <c r="F46" t="s">
        <v>117</v>
      </c>
    </row>
    <row r="47" spans="1:6" x14ac:dyDescent="0.25">
      <c r="A47" s="22">
        <v>2050</v>
      </c>
      <c r="B47" s="22" t="s">
        <v>65</v>
      </c>
      <c r="C47" s="22" t="s">
        <v>67</v>
      </c>
      <c r="D47" s="19">
        <f>15/3.6</f>
        <v>4.166666666666667</v>
      </c>
      <c r="E47" s="20" t="s">
        <v>126</v>
      </c>
    </row>
    <row r="48" spans="1:6" x14ac:dyDescent="0.25">
      <c r="A48" s="22">
        <v>2050</v>
      </c>
      <c r="B48" s="22" t="s">
        <v>65</v>
      </c>
      <c r="C48" s="22" t="s">
        <v>68</v>
      </c>
      <c r="D48" s="19">
        <v>0</v>
      </c>
      <c r="E48" s="20" t="s">
        <v>126</v>
      </c>
    </row>
    <row r="49" spans="1:6" x14ac:dyDescent="0.25">
      <c r="A49" s="22">
        <v>2050</v>
      </c>
      <c r="B49" s="22" t="s">
        <v>65</v>
      </c>
      <c r="C49" s="22" t="s">
        <v>69</v>
      </c>
      <c r="D49" s="19">
        <v>0</v>
      </c>
      <c r="E49" t="s">
        <v>127</v>
      </c>
      <c r="F49" t="s">
        <v>128</v>
      </c>
    </row>
    <row r="50" spans="1:6" x14ac:dyDescent="0.25">
      <c r="A50" s="22">
        <v>2050</v>
      </c>
      <c r="B50" s="22" t="s">
        <v>70</v>
      </c>
      <c r="C50" s="22" t="s">
        <v>67</v>
      </c>
      <c r="D50" s="19">
        <f>11139.91081/1000</f>
        <v>11.13991081</v>
      </c>
      <c r="E50" s="20" t="s">
        <v>118</v>
      </c>
      <c r="F50" t="s">
        <v>123</v>
      </c>
    </row>
    <row r="51" spans="1:6" x14ac:dyDescent="0.25">
      <c r="A51" s="22">
        <v>2050</v>
      </c>
      <c r="B51" s="22" t="s">
        <v>70</v>
      </c>
      <c r="C51" s="22" t="s">
        <v>68</v>
      </c>
      <c r="D51" s="19">
        <f>99944.06764/1000</f>
        <v>99.94406764</v>
      </c>
      <c r="E51" s="20" t="s">
        <v>118</v>
      </c>
      <c r="F51" t="s">
        <v>122</v>
      </c>
    </row>
    <row r="52" spans="1:6" x14ac:dyDescent="0.25">
      <c r="A52" s="22">
        <v>2050</v>
      </c>
      <c r="B52" s="22" t="s">
        <v>70</v>
      </c>
      <c r="C52" s="22" t="s">
        <v>69</v>
      </c>
      <c r="D52" s="19">
        <f>(2795.9212+0)/1000</f>
        <v>2.7959212000000004</v>
      </c>
      <c r="E52" s="20" t="s">
        <v>118</v>
      </c>
      <c r="F52" t="s">
        <v>121</v>
      </c>
    </row>
    <row r="53" spans="1:6" x14ac:dyDescent="0.25">
      <c r="A53" s="22">
        <v>2050</v>
      </c>
      <c r="B53" s="22" t="s">
        <v>66</v>
      </c>
      <c r="C53" s="22" t="s">
        <v>67</v>
      </c>
      <c r="D53" s="19">
        <f>22264.1812466456*0.01163</f>
        <v>258.9324278984883</v>
      </c>
      <c r="E53" s="20" t="s">
        <v>114</v>
      </c>
      <c r="F53" t="s">
        <v>119</v>
      </c>
    </row>
    <row r="54" spans="1:6" x14ac:dyDescent="0.25">
      <c r="A54" s="22">
        <v>2050</v>
      </c>
      <c r="B54" s="22" t="s">
        <v>66</v>
      </c>
      <c r="C54" s="22" t="s">
        <v>68</v>
      </c>
      <c r="D54" s="19">
        <f>(183101+1374+7)/1000</f>
        <v>184.482</v>
      </c>
      <c r="E54" s="20" t="s">
        <v>114</v>
      </c>
      <c r="F54" t="s">
        <v>120</v>
      </c>
    </row>
    <row r="55" spans="1:6" x14ac:dyDescent="0.25">
      <c r="A55" s="22">
        <v>2050</v>
      </c>
      <c r="B55" s="22" t="s">
        <v>66</v>
      </c>
      <c r="C55" s="22" t="s">
        <v>69</v>
      </c>
      <c r="D55" s="19">
        <f>((560+4085)+(106+3819))*0.01163</f>
        <v>99.6691</v>
      </c>
      <c r="E55" s="20" t="s">
        <v>114</v>
      </c>
      <c r="F55" t="s">
        <v>117</v>
      </c>
    </row>
    <row r="56" spans="1:6" x14ac:dyDescent="0.25">
      <c r="A56" s="22"/>
      <c r="B56" s="22"/>
      <c r="C56" s="22"/>
    </row>
    <row r="57" spans="1:6" x14ac:dyDescent="0.25">
      <c r="A57" s="22"/>
      <c r="B57" s="22"/>
      <c r="C57" s="22"/>
    </row>
    <row r="58" spans="1:6" x14ac:dyDescent="0.25">
      <c r="A58" s="22"/>
      <c r="B58" s="22"/>
      <c r="C58" s="22"/>
    </row>
    <row r="59" spans="1:6" x14ac:dyDescent="0.25">
      <c r="A59" s="22"/>
      <c r="B59" s="22"/>
      <c r="C59" s="22"/>
    </row>
    <row r="60" spans="1:6" x14ac:dyDescent="0.25">
      <c r="A60" s="22"/>
      <c r="B60" s="22"/>
      <c r="C60" s="22"/>
    </row>
    <row r="61" spans="1:6" x14ac:dyDescent="0.25">
      <c r="A61" s="22"/>
      <c r="B61" s="22"/>
      <c r="C61" s="22"/>
    </row>
    <row r="62" spans="1:6" x14ac:dyDescent="0.25">
      <c r="A62" s="22"/>
      <c r="B62" s="22"/>
      <c r="C62" s="22"/>
    </row>
    <row r="63" spans="1:6" x14ac:dyDescent="0.25">
      <c r="A63" s="22"/>
      <c r="B63" s="22"/>
      <c r="C63" s="22"/>
    </row>
    <row r="64" spans="1:6" x14ac:dyDescent="0.25">
      <c r="A64" s="22"/>
      <c r="B64" s="22"/>
      <c r="C64" s="22"/>
    </row>
    <row r="65" spans="1:5" x14ac:dyDescent="0.25">
      <c r="A65" s="22"/>
      <c r="B65" s="22"/>
      <c r="C65" s="22"/>
    </row>
    <row r="66" spans="1:5" x14ac:dyDescent="0.25">
      <c r="A66" s="22"/>
      <c r="B66" s="22"/>
      <c r="C66" s="22"/>
    </row>
    <row r="67" spans="1:5" x14ac:dyDescent="0.25">
      <c r="A67" s="22"/>
      <c r="B67" s="22"/>
      <c r="C67" s="22"/>
    </row>
    <row r="68" spans="1:5" x14ac:dyDescent="0.25">
      <c r="A68" s="22"/>
      <c r="B68" s="22"/>
      <c r="C68" s="22"/>
    </row>
    <row r="69" spans="1:5" x14ac:dyDescent="0.25">
      <c r="A69" s="22"/>
      <c r="B69" s="22"/>
      <c r="C69" s="22"/>
    </row>
    <row r="70" spans="1:5" x14ac:dyDescent="0.25">
      <c r="A70" s="22"/>
      <c r="B70" s="22"/>
      <c r="C70" s="22"/>
    </row>
    <row r="71" spans="1:5" x14ac:dyDescent="0.25">
      <c r="A71" s="22"/>
      <c r="B71" s="22"/>
      <c r="C71" s="22"/>
    </row>
    <row r="72" spans="1:5" x14ac:dyDescent="0.25">
      <c r="A72" s="22"/>
      <c r="B72" s="22"/>
      <c r="C72" s="22"/>
      <c r="E72" s="20"/>
    </row>
    <row r="73" spans="1:5" x14ac:dyDescent="0.25">
      <c r="A73" s="22"/>
      <c r="B73" s="22"/>
      <c r="C73" s="22"/>
      <c r="E73" s="20"/>
    </row>
    <row r="74" spans="1:5" x14ac:dyDescent="0.25">
      <c r="A74" s="22"/>
      <c r="B74" s="22"/>
      <c r="C74" s="22"/>
    </row>
    <row r="75" spans="1:5" x14ac:dyDescent="0.25">
      <c r="A75" s="22"/>
      <c r="B75" s="22"/>
      <c r="C75" s="22"/>
    </row>
    <row r="76" spans="1:5" x14ac:dyDescent="0.25">
      <c r="A76" s="22"/>
      <c r="B76" s="22"/>
      <c r="C76" s="22"/>
    </row>
    <row r="77" spans="1:5" x14ac:dyDescent="0.25">
      <c r="A77" s="22"/>
      <c r="B77" s="22"/>
      <c r="C77" s="22"/>
    </row>
    <row r="78" spans="1:5" x14ac:dyDescent="0.25">
      <c r="A78" s="22"/>
      <c r="B78" s="22"/>
      <c r="C78" s="22"/>
    </row>
    <row r="79" spans="1:5" x14ac:dyDescent="0.25">
      <c r="A79" s="22"/>
      <c r="B79" s="22"/>
      <c r="C79" s="22"/>
    </row>
    <row r="80" spans="1:5" x14ac:dyDescent="0.25">
      <c r="A80" s="22"/>
      <c r="B80" s="22"/>
      <c r="C80" s="22"/>
    </row>
    <row r="81" spans="1:5" x14ac:dyDescent="0.25">
      <c r="A81" s="22"/>
      <c r="B81" s="22"/>
      <c r="C81" s="22"/>
    </row>
    <row r="82" spans="1:5" x14ac:dyDescent="0.25">
      <c r="A82" s="22"/>
      <c r="B82" s="22"/>
      <c r="C82" s="22"/>
    </row>
    <row r="83" spans="1:5" x14ac:dyDescent="0.25">
      <c r="A83" s="22"/>
      <c r="B83" s="22"/>
      <c r="C83" s="22"/>
    </row>
    <row r="84" spans="1:5" x14ac:dyDescent="0.25">
      <c r="A84" s="22"/>
      <c r="B84" s="22"/>
      <c r="C84" s="22"/>
    </row>
    <row r="85" spans="1:5" x14ac:dyDescent="0.25">
      <c r="A85" s="22"/>
      <c r="B85" s="22"/>
      <c r="C85" s="22"/>
    </row>
    <row r="86" spans="1:5" x14ac:dyDescent="0.25">
      <c r="A86" s="22"/>
      <c r="B86" s="22"/>
      <c r="C86" s="22"/>
    </row>
    <row r="87" spans="1:5" x14ac:dyDescent="0.25">
      <c r="A87" s="22"/>
      <c r="B87" s="22"/>
      <c r="C87" s="22"/>
    </row>
    <row r="88" spans="1:5" x14ac:dyDescent="0.25">
      <c r="A88" s="22"/>
      <c r="B88" s="22"/>
      <c r="C88" s="22"/>
    </row>
    <row r="89" spans="1:5" x14ac:dyDescent="0.25">
      <c r="A89" s="22"/>
      <c r="B89" s="22"/>
      <c r="C89" s="22"/>
    </row>
    <row r="90" spans="1:5" x14ac:dyDescent="0.25">
      <c r="A90" s="22"/>
      <c r="B90" s="22"/>
      <c r="C90" s="22"/>
    </row>
    <row r="91" spans="1:5" x14ac:dyDescent="0.25">
      <c r="A91" s="22"/>
      <c r="B91" s="22"/>
      <c r="C91" s="22"/>
    </row>
    <row r="92" spans="1:5" x14ac:dyDescent="0.25">
      <c r="A92" s="22"/>
      <c r="B92" s="22"/>
      <c r="C92" s="22"/>
    </row>
    <row r="93" spans="1:5" x14ac:dyDescent="0.25">
      <c r="A93" s="22"/>
      <c r="B93" s="22"/>
      <c r="C93" s="22"/>
      <c r="E93" s="20"/>
    </row>
    <row r="94" spans="1:5" x14ac:dyDescent="0.25">
      <c r="A94" s="22"/>
      <c r="B94" s="22"/>
      <c r="C94" s="22"/>
      <c r="E94" s="20"/>
    </row>
    <row r="95" spans="1:5" x14ac:dyDescent="0.25">
      <c r="A95" s="22"/>
      <c r="B95" s="22"/>
      <c r="C95" s="22"/>
    </row>
    <row r="96" spans="1:5" x14ac:dyDescent="0.25">
      <c r="A96" s="22"/>
      <c r="B96" s="22"/>
      <c r="C96" s="22"/>
    </row>
    <row r="97" spans="1:3" x14ac:dyDescent="0.25">
      <c r="A97" s="22"/>
      <c r="B97" s="22"/>
      <c r="C97" s="22"/>
    </row>
    <row r="98" spans="1:3" x14ac:dyDescent="0.25">
      <c r="A98" s="22"/>
      <c r="B98" s="22"/>
      <c r="C98" s="22"/>
    </row>
    <row r="99" spans="1:3" x14ac:dyDescent="0.25">
      <c r="A99" s="22"/>
      <c r="B99" s="22"/>
      <c r="C99" s="22"/>
    </row>
    <row r="100" spans="1:3" x14ac:dyDescent="0.25">
      <c r="A100" s="22"/>
      <c r="B100" s="22"/>
      <c r="C100" s="22"/>
    </row>
    <row r="101" spans="1:3" x14ac:dyDescent="0.25">
      <c r="A101" s="22"/>
      <c r="B101" s="22"/>
      <c r="C101" s="22"/>
    </row>
    <row r="102" spans="1:3" x14ac:dyDescent="0.25">
      <c r="A102" s="22"/>
      <c r="B102" s="22"/>
      <c r="C102" s="22"/>
    </row>
    <row r="103" spans="1:3" x14ac:dyDescent="0.25">
      <c r="A103" s="22"/>
      <c r="B103" s="22"/>
      <c r="C103" s="22"/>
    </row>
    <row r="104" spans="1:3" x14ac:dyDescent="0.25">
      <c r="A104" s="22"/>
      <c r="B104" s="22"/>
      <c r="C104" s="22"/>
    </row>
    <row r="105" spans="1:3" x14ac:dyDescent="0.25">
      <c r="A105" s="22"/>
      <c r="B105" s="22"/>
      <c r="C105" s="22"/>
    </row>
    <row r="106" spans="1:3" x14ac:dyDescent="0.25">
      <c r="A106" s="22"/>
      <c r="B106" s="22"/>
      <c r="C106" s="22"/>
    </row>
    <row r="107" spans="1:3" x14ac:dyDescent="0.25">
      <c r="A107" s="22"/>
      <c r="B107" s="22"/>
      <c r="C107" s="22"/>
    </row>
    <row r="108" spans="1:3" x14ac:dyDescent="0.25">
      <c r="A108" s="22"/>
      <c r="B108" s="22"/>
      <c r="C108" s="22"/>
    </row>
    <row r="109" spans="1:3" x14ac:dyDescent="0.25">
      <c r="A109" s="22"/>
      <c r="B109" s="22"/>
      <c r="C109" s="22"/>
    </row>
    <row r="110" spans="1:3" x14ac:dyDescent="0.25">
      <c r="A110" s="22"/>
      <c r="B110" s="22"/>
      <c r="C110" s="22"/>
    </row>
    <row r="111" spans="1:3" x14ac:dyDescent="0.25">
      <c r="A111" s="22"/>
      <c r="B111" s="22"/>
      <c r="C111" s="22"/>
    </row>
    <row r="112" spans="1:3" x14ac:dyDescent="0.25">
      <c r="A112" s="22"/>
      <c r="B112" s="22"/>
      <c r="C112" s="22"/>
    </row>
    <row r="113" spans="1:9" x14ac:dyDescent="0.25">
      <c r="A113" s="22"/>
      <c r="B113" s="22"/>
      <c r="C113" s="22"/>
    </row>
    <row r="114" spans="1:9" x14ac:dyDescent="0.25">
      <c r="A114" s="22"/>
      <c r="B114" s="22"/>
      <c r="C114" s="22"/>
      <c r="E114" s="20"/>
    </row>
    <row r="115" spans="1:9" x14ac:dyDescent="0.25">
      <c r="A115" s="22"/>
      <c r="B115" s="22"/>
      <c r="C115" s="22"/>
      <c r="E115" s="20"/>
      <c r="I115" s="22" t="s">
        <v>115</v>
      </c>
    </row>
  </sheetData>
  <hyperlinks>
    <hyperlink ref="E8" r:id="rId1" xr:uid="{16D66779-F6B2-834D-BEB7-DF8E17AC8031}"/>
    <hyperlink ref="E9" r:id="rId2" xr:uid="{80C7BDA9-DA85-B44B-8CBB-69326CAE00DB}"/>
    <hyperlink ref="E17" r:id="rId3" xr:uid="{DE03DF72-3DED-F84C-999F-4ADBEF0AFAF9}"/>
    <hyperlink ref="E18" r:id="rId4" xr:uid="{00DCD510-6C34-E347-90BE-6BBBF774A450}"/>
    <hyperlink ref="E26" r:id="rId5" xr:uid="{E83FBED1-624B-234D-B971-79EDB99047EB}"/>
    <hyperlink ref="E27" r:id="rId6" xr:uid="{C8727F84-8175-9E42-A5CE-2713087A2675}"/>
    <hyperlink ref="E35" r:id="rId7" xr:uid="{1A4FE29C-7E65-FA42-9D00-85576592234E}"/>
    <hyperlink ref="E36" r:id="rId8" xr:uid="{B7FF093F-259E-2446-8F8E-CCF9CBEE6D29}"/>
    <hyperlink ref="E44" r:id="rId9" xr:uid="{BF358D59-3C32-BE41-B1C6-D6851C4B594E}"/>
    <hyperlink ref="E45" r:id="rId10" xr:uid="{410CB437-834D-6B4B-817F-9DAE0A9C2CF0}"/>
    <hyperlink ref="E53" r:id="rId11" xr:uid="{ECBA7DEE-3556-C944-ABE2-E874FAC749F7}"/>
    <hyperlink ref="E54" r:id="rId12" xr:uid="{92B35E1E-6A9B-D445-9EFB-C8B38666D766}"/>
    <hyperlink ref="E10" r:id="rId13" xr:uid="{640B3B0E-2A4E-BA4C-BB0A-469C8FD644B2}"/>
    <hyperlink ref="E19" r:id="rId14" xr:uid="{2A3BCE13-1854-B54C-9337-B6722EA58296}"/>
    <hyperlink ref="E28" r:id="rId15" xr:uid="{A2465F58-C469-1341-8F4A-7A2E29C84241}"/>
    <hyperlink ref="E37" r:id="rId16" xr:uid="{3CC6EE92-04E0-174F-BB1D-8C0A2DD9E898}"/>
    <hyperlink ref="E46" r:id="rId17" xr:uid="{27ABCA1A-3F1E-224A-A6AC-AB197251D125}"/>
    <hyperlink ref="E55" r:id="rId18" xr:uid="{7656796E-127E-CA44-B386-3DB766E95889}"/>
    <hyperlink ref="E50" r:id="rId19" xr:uid="{B7AA6CBC-21F0-6E4C-B595-A7DEFCC308AE}"/>
    <hyperlink ref="E41" r:id="rId20" xr:uid="{2868D25E-83E1-3D4E-8559-E42A1DBC6949}"/>
    <hyperlink ref="E23" r:id="rId21" xr:uid="{046EBEAC-D0F0-674A-8A57-C6B3EAEF4EE0}"/>
    <hyperlink ref="E14" r:id="rId22" xr:uid="{DAFC9E8B-6597-604B-8A00-7031CF04ECCA}"/>
    <hyperlink ref="E5" r:id="rId23" xr:uid="{9A7553EF-25C7-C54E-8766-E29540C57995}"/>
    <hyperlink ref="E52" r:id="rId24" xr:uid="{A14E37F4-F0B0-EB4C-BA89-6984AC49578F}"/>
    <hyperlink ref="E43" r:id="rId25" xr:uid="{21212295-D77B-9B45-B60E-98620B0F0D53}"/>
    <hyperlink ref="E32" r:id="rId26" xr:uid="{EBEDB2EE-18C0-5B4E-9224-C97DE43BB60F}"/>
    <hyperlink ref="E34" r:id="rId27" xr:uid="{34459801-B96E-E143-8ECF-215360C9997C}"/>
    <hyperlink ref="E25" r:id="rId28" xr:uid="{F797359B-448A-504F-ADC7-E255378FA211}"/>
    <hyperlink ref="E16" r:id="rId29" xr:uid="{E22DCCBC-5E02-C44D-A819-34C39534195D}"/>
    <hyperlink ref="E7" r:id="rId30" xr:uid="{413064FB-9EE0-674C-8D37-B16E1988EE9D}"/>
    <hyperlink ref="E51" r:id="rId31" xr:uid="{81E9E1D3-4CA3-2141-AED1-98831C24886E}"/>
    <hyperlink ref="E42" r:id="rId32" xr:uid="{78AABB71-C15B-874A-A7D5-962AD2336CE8}"/>
    <hyperlink ref="E33" r:id="rId33" xr:uid="{E8FE4924-4B71-E645-83C6-DDAECE50C963}"/>
    <hyperlink ref="E24" r:id="rId34" xr:uid="{1FC56CA1-5B9B-0C4C-B418-2FAA8A62B525}"/>
    <hyperlink ref="E15" r:id="rId35" xr:uid="{39BAEB81-54BA-0C4D-B379-F48B9EFEEF8C}"/>
    <hyperlink ref="E6" r:id="rId36" xr:uid="{4A2B984F-B218-6F45-BA66-E65FB4BE6FC6}"/>
    <hyperlink ref="E4" r:id="rId37" xr:uid="{04E660D9-DE35-D14B-86B2-816E91A3B95E}"/>
    <hyperlink ref="E3" r:id="rId38" xr:uid="{BD89633B-A680-9E4F-94E9-29F30B22B899}"/>
    <hyperlink ref="E11" r:id="rId39" xr:uid="{269F15F2-08C0-6443-9ACA-FD3F17749448}"/>
    <hyperlink ref="E20" r:id="rId40" xr:uid="{26751080-1347-E84C-B45F-7EB7D7776A8D}"/>
    <hyperlink ref="E29" r:id="rId41" xr:uid="{9128C149-A131-044E-AA2E-DEE1BFF92E78}"/>
    <hyperlink ref="E38" r:id="rId42" xr:uid="{9356C56C-D380-604F-904C-F94091DA1D79}"/>
    <hyperlink ref="E47" r:id="rId43" xr:uid="{8D4072C1-F54F-E74B-B05B-A7466CAC875C}"/>
    <hyperlink ref="E2" r:id="rId44" xr:uid="{90E19D12-9512-D34F-B0B7-394102790D4E}"/>
    <hyperlink ref="E48" r:id="rId45" xr:uid="{F7764C63-E89A-BF4D-9BBE-84FA3C1CAF64}"/>
    <hyperlink ref="E39" r:id="rId46" xr:uid="{484A9B76-EA74-F449-9C3B-5C0B963E7D19}"/>
    <hyperlink ref="E30" r:id="rId47" xr:uid="{6ABECF57-99DE-2E48-B9BF-F465A0BAF20C}"/>
    <hyperlink ref="E21" r:id="rId48" xr:uid="{FCDD8D3A-677E-5545-A516-64DD2A3B148C}"/>
    <hyperlink ref="E12" r:id="rId49" xr:uid="{B31C9B34-8BCE-DD44-BD95-433BE6C894EC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F3BA-14F8-4244-9461-94F31737F093}">
  <dimension ref="A1:P9"/>
  <sheetViews>
    <sheetView workbookViewId="0">
      <selection activeCell="A32" sqref="A32"/>
    </sheetView>
  </sheetViews>
  <sheetFormatPr baseColWidth="10" defaultColWidth="11.42578125" defaultRowHeight="15" x14ac:dyDescent="0.25"/>
  <cols>
    <col min="1" max="1" width="15.42578125" customWidth="1"/>
    <col min="5" max="5" width="15.42578125" customWidth="1"/>
    <col min="15" max="15" width="29.140625" customWidth="1"/>
  </cols>
  <sheetData>
    <row r="1" spans="1:16" x14ac:dyDescent="0.25">
      <c r="A1" s="2" t="s">
        <v>30</v>
      </c>
      <c r="B1" s="2" t="s">
        <v>71</v>
      </c>
      <c r="C1" s="2"/>
      <c r="D1" s="2"/>
      <c r="E1" s="2" t="s">
        <v>137</v>
      </c>
      <c r="F1" s="2" t="s">
        <v>72</v>
      </c>
      <c r="G1" s="2" t="s">
        <v>73</v>
      </c>
      <c r="H1" s="2" t="s">
        <v>74</v>
      </c>
      <c r="I1" s="2" t="s">
        <v>138</v>
      </c>
      <c r="J1" s="2" t="s">
        <v>75</v>
      </c>
      <c r="K1" s="2" t="s">
        <v>76</v>
      </c>
      <c r="L1" s="2" t="s">
        <v>77</v>
      </c>
      <c r="M1" s="2" t="s">
        <v>151</v>
      </c>
      <c r="N1" s="2" t="s">
        <v>152</v>
      </c>
      <c r="O1" s="1"/>
      <c r="P1" s="1"/>
    </row>
    <row r="2" spans="1:16" x14ac:dyDescent="0.25">
      <c r="A2" t="s">
        <v>359</v>
      </c>
      <c r="B2" t="s">
        <v>141</v>
      </c>
      <c r="C2" s="21" t="s">
        <v>153</v>
      </c>
      <c r="D2" s="21" t="s">
        <v>134</v>
      </c>
      <c r="E2" s="18">
        <v>143</v>
      </c>
      <c r="F2" s="18">
        <v>131</v>
      </c>
      <c r="G2" s="18">
        <v>111</v>
      </c>
      <c r="H2" s="18">
        <v>95</v>
      </c>
      <c r="I2" s="18">
        <f t="shared" ref="I2:L7" si="0">E2*0.06</f>
        <v>8.58</v>
      </c>
      <c r="J2" s="18">
        <f t="shared" si="0"/>
        <v>7.8599999999999994</v>
      </c>
      <c r="K2" s="18">
        <f t="shared" si="0"/>
        <v>6.66</v>
      </c>
      <c r="L2" s="18">
        <f t="shared" si="0"/>
        <v>5.7</v>
      </c>
      <c r="M2" s="18">
        <v>65</v>
      </c>
      <c r="N2" s="18">
        <v>90</v>
      </c>
    </row>
    <row r="3" spans="1:16" x14ac:dyDescent="0.25">
      <c r="A3" t="s">
        <v>360</v>
      </c>
      <c r="B3" t="s">
        <v>141</v>
      </c>
      <c r="C3" s="21"/>
      <c r="D3" s="21" t="s">
        <v>153</v>
      </c>
      <c r="E3" s="18">
        <v>105</v>
      </c>
      <c r="F3" s="18">
        <v>100.8</v>
      </c>
      <c r="G3" s="18">
        <v>92.4</v>
      </c>
      <c r="H3" s="18">
        <v>84</v>
      </c>
      <c r="I3" s="18">
        <f t="shared" si="0"/>
        <v>6.3</v>
      </c>
      <c r="J3" s="18">
        <f t="shared" si="0"/>
        <v>6.048</v>
      </c>
      <c r="K3" s="18">
        <f t="shared" si="0"/>
        <v>5.5440000000000005</v>
      </c>
      <c r="L3" s="18">
        <f t="shared" si="0"/>
        <v>5.04</v>
      </c>
      <c r="M3" s="18">
        <v>90</v>
      </c>
      <c r="N3" s="18">
        <v>94</v>
      </c>
    </row>
    <row r="4" spans="1:16" x14ac:dyDescent="0.25">
      <c r="A4" t="s">
        <v>361</v>
      </c>
      <c r="B4" t="s">
        <v>141</v>
      </c>
      <c r="C4" s="21"/>
      <c r="D4" s="21" t="s">
        <v>153</v>
      </c>
      <c r="E4" s="18">
        <v>36</v>
      </c>
      <c r="F4" s="18">
        <v>34.6</v>
      </c>
      <c r="G4" s="18">
        <v>31.7</v>
      </c>
      <c r="H4" s="18">
        <v>28.8</v>
      </c>
      <c r="I4" s="18">
        <f t="shared" si="0"/>
        <v>2.16</v>
      </c>
      <c r="J4" s="18">
        <f t="shared" si="0"/>
        <v>2.0760000000000001</v>
      </c>
      <c r="K4" s="18">
        <f t="shared" si="0"/>
        <v>1.9019999999999999</v>
      </c>
      <c r="L4" s="18">
        <f t="shared" si="0"/>
        <v>1.728</v>
      </c>
      <c r="M4" s="18">
        <v>90</v>
      </c>
      <c r="N4" s="18">
        <v>99</v>
      </c>
    </row>
    <row r="5" spans="1:16" x14ac:dyDescent="0.25">
      <c r="A5" t="s">
        <v>367</v>
      </c>
      <c r="B5" t="s">
        <v>141</v>
      </c>
      <c r="C5" s="21"/>
      <c r="D5" s="21" t="s">
        <v>153</v>
      </c>
      <c r="E5" s="18">
        <v>105</v>
      </c>
      <c r="F5" s="18">
        <v>100.8</v>
      </c>
      <c r="G5" s="18">
        <v>92.4</v>
      </c>
      <c r="H5" s="18">
        <v>84</v>
      </c>
      <c r="I5" s="18">
        <f t="shared" si="0"/>
        <v>6.3</v>
      </c>
      <c r="J5" s="18">
        <f t="shared" si="0"/>
        <v>6.048</v>
      </c>
      <c r="K5" s="18">
        <f t="shared" si="0"/>
        <v>5.5440000000000005</v>
      </c>
      <c r="L5" s="18">
        <f t="shared" si="0"/>
        <v>5.04</v>
      </c>
      <c r="M5" s="18">
        <v>90</v>
      </c>
      <c r="N5" s="18">
        <v>99</v>
      </c>
    </row>
    <row r="6" spans="1:16" x14ac:dyDescent="0.25">
      <c r="A6" t="s">
        <v>362</v>
      </c>
      <c r="B6" t="s">
        <v>141</v>
      </c>
      <c r="D6" s="21" t="s">
        <v>158</v>
      </c>
      <c r="E6" s="18">
        <v>85</v>
      </c>
      <c r="F6" s="18">
        <f>E6*(1-0.075)</f>
        <v>78.625</v>
      </c>
      <c r="G6" s="18">
        <f>F6-(1-0.075)</f>
        <v>77.7</v>
      </c>
      <c r="H6" s="18">
        <f>G6-(1-0.075)</f>
        <v>76.775000000000006</v>
      </c>
      <c r="I6" s="18">
        <f t="shared" si="0"/>
        <v>5.0999999999999996</v>
      </c>
      <c r="J6" s="18">
        <f t="shared" si="0"/>
        <v>4.7175000000000002</v>
      </c>
      <c r="K6" s="18">
        <f t="shared" si="0"/>
        <v>4.6619999999999999</v>
      </c>
      <c r="L6" s="18">
        <f t="shared" si="0"/>
        <v>4.6065000000000005</v>
      </c>
      <c r="M6" s="18">
        <v>90</v>
      </c>
      <c r="N6" s="18">
        <v>90</v>
      </c>
    </row>
    <row r="7" spans="1:16" x14ac:dyDescent="0.25">
      <c r="A7" t="s">
        <v>363</v>
      </c>
      <c r="B7" t="s">
        <v>141</v>
      </c>
      <c r="C7" s="21" t="s">
        <v>153</v>
      </c>
      <c r="D7" s="21" t="s">
        <v>134</v>
      </c>
      <c r="E7" s="18">
        <v>98</v>
      </c>
      <c r="F7" s="18">
        <v>90</v>
      </c>
      <c r="G7" s="18">
        <v>77</v>
      </c>
      <c r="H7" s="18">
        <v>65</v>
      </c>
      <c r="I7" s="18">
        <f t="shared" si="0"/>
        <v>5.88</v>
      </c>
      <c r="J7" s="18">
        <f t="shared" si="0"/>
        <v>5.3999999999999995</v>
      </c>
      <c r="K7" s="18">
        <f t="shared" si="0"/>
        <v>4.62</v>
      </c>
      <c r="L7" s="18">
        <f t="shared" si="0"/>
        <v>3.9</v>
      </c>
      <c r="M7" s="18">
        <v>80</v>
      </c>
      <c r="N7" s="18">
        <v>90</v>
      </c>
      <c r="O7" s="21"/>
    </row>
    <row r="8" spans="1:16" x14ac:dyDescent="0.25">
      <c r="A8" t="s">
        <v>364</v>
      </c>
      <c r="B8" t="s">
        <v>141</v>
      </c>
      <c r="C8" t="s">
        <v>157</v>
      </c>
      <c r="D8" s="21" t="s">
        <v>134</v>
      </c>
      <c r="E8" s="18">
        <v>481</v>
      </c>
      <c r="F8" s="18">
        <v>338</v>
      </c>
      <c r="G8" s="18">
        <v>237</v>
      </c>
      <c r="H8" s="18">
        <v>199</v>
      </c>
      <c r="I8" s="18">
        <v>19.2</v>
      </c>
      <c r="J8" s="18">
        <v>13.5</v>
      </c>
      <c r="K8" s="18">
        <v>9.5</v>
      </c>
      <c r="L8" s="18">
        <v>8</v>
      </c>
      <c r="M8" s="18">
        <v>80</v>
      </c>
      <c r="N8" s="18">
        <v>95</v>
      </c>
      <c r="O8" s="21"/>
    </row>
    <row r="9" spans="1:16" x14ac:dyDescent="0.25">
      <c r="A9" s="17"/>
      <c r="E9" s="20"/>
      <c r="F9" s="20"/>
      <c r="G9" s="20"/>
      <c r="H9" s="20"/>
      <c r="I9" s="20"/>
      <c r="J9" s="20"/>
    </row>
  </sheetData>
  <hyperlinks>
    <hyperlink ref="D7" r:id="rId1" xr:uid="{BCB94CCF-3997-DE4F-A5D8-7D944774409E}"/>
    <hyperlink ref="D8" r:id="rId2" xr:uid="{E2DD9DE0-DC9B-5B4F-8AEC-1279FAFA031C}"/>
    <hyperlink ref="D2" r:id="rId3" xr:uid="{18563F67-AC25-1F44-8B20-0B39DD9D9D76}"/>
    <hyperlink ref="C2" r:id="rId4" xr:uid="{1645819B-1C19-194C-A448-8134B0C298F5}"/>
    <hyperlink ref="C7" r:id="rId5" xr:uid="{A0003602-A6B0-5B4A-B6D1-1D29270CC8DF}"/>
    <hyperlink ref="D4" r:id="rId6" xr:uid="{5384DD56-DFA1-3D48-A7BD-887E5DEEAB58}"/>
    <hyperlink ref="D3" r:id="rId7" xr:uid="{1D7063D8-BE87-A943-B108-26433FF8B0F3}"/>
    <hyperlink ref="D5" r:id="rId8" xr:uid="{481E844B-8479-F840-A844-5B5579F8FBB4}"/>
    <hyperlink ref="D6" r:id="rId9" xr:uid="{3F7DE104-D55F-5440-9AE0-552F11431FEA}"/>
  </hyperlinks>
  <pageMargins left="0.7" right="0.7" top="0.78740157499999996" bottom="0.78740157499999996" header="0.3" footer="0.3"/>
  <legacy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E073-763D-3F49-B620-28B83F9D6423}">
  <dimension ref="A1:T13"/>
  <sheetViews>
    <sheetView tabSelected="1" zoomScale="107" workbookViewId="0">
      <selection activeCell="C10" sqref="C10"/>
    </sheetView>
  </sheetViews>
  <sheetFormatPr baseColWidth="10" defaultColWidth="11.42578125" defaultRowHeight="15" x14ac:dyDescent="0.25"/>
  <cols>
    <col min="1" max="1" width="15.42578125" customWidth="1"/>
    <col min="5" max="6" width="15.42578125" customWidth="1"/>
  </cols>
  <sheetData>
    <row r="1" spans="1:20" x14ac:dyDescent="0.25">
      <c r="A1" s="2" t="s">
        <v>30</v>
      </c>
      <c r="B1" s="2" t="s">
        <v>71</v>
      </c>
      <c r="C1" s="2"/>
      <c r="D1" s="2"/>
      <c r="E1" s="2" t="s">
        <v>374</v>
      </c>
      <c r="F1" s="2" t="s">
        <v>375</v>
      </c>
      <c r="G1" s="2" t="s">
        <v>376</v>
      </c>
      <c r="H1" s="2" t="s">
        <v>377</v>
      </c>
      <c r="I1" s="2" t="s">
        <v>378</v>
      </c>
      <c r="J1" s="2" t="s">
        <v>379</v>
      </c>
      <c r="K1" s="2" t="s">
        <v>380</v>
      </c>
      <c r="L1" s="2" t="s">
        <v>381</v>
      </c>
      <c r="M1" s="2" t="s">
        <v>138</v>
      </c>
      <c r="N1" s="2" t="s">
        <v>75</v>
      </c>
      <c r="O1" s="2" t="s">
        <v>76</v>
      </c>
      <c r="P1" s="2" t="s">
        <v>77</v>
      </c>
      <c r="Q1" s="1"/>
      <c r="R1" s="1"/>
      <c r="S1" s="1"/>
      <c r="T1" s="1"/>
    </row>
    <row r="2" spans="1:20" x14ac:dyDescent="0.25">
      <c r="A2" t="s">
        <v>368</v>
      </c>
      <c r="B2" t="s">
        <v>141</v>
      </c>
      <c r="C2" t="s">
        <v>189</v>
      </c>
      <c r="D2" s="20" t="s">
        <v>143</v>
      </c>
      <c r="E2" s="19">
        <v>1</v>
      </c>
      <c r="F2" s="19">
        <v>7</v>
      </c>
      <c r="G2" s="19">
        <f t="shared" ref="G2:L2" si="0">E2*(1-0.04)</f>
        <v>0.96</v>
      </c>
      <c r="H2" s="19">
        <f t="shared" si="0"/>
        <v>6.72</v>
      </c>
      <c r="I2" s="19">
        <f t="shared" si="0"/>
        <v>0.92159999999999997</v>
      </c>
      <c r="J2" s="19">
        <f t="shared" si="0"/>
        <v>6.4511999999999992</v>
      </c>
      <c r="K2" s="19">
        <f t="shared" si="0"/>
        <v>0.88473599999999997</v>
      </c>
      <c r="L2" s="19">
        <f t="shared" si="0"/>
        <v>6.1931519999999987</v>
      </c>
      <c r="M2">
        <v>4</v>
      </c>
      <c r="N2">
        <v>4</v>
      </c>
      <c r="O2">
        <v>4</v>
      </c>
      <c r="P2">
        <v>4</v>
      </c>
    </row>
    <row r="3" spans="1:20" x14ac:dyDescent="0.25">
      <c r="A3" t="s">
        <v>369</v>
      </c>
      <c r="B3" t="s">
        <v>141</v>
      </c>
      <c r="C3" t="s">
        <v>189</v>
      </c>
      <c r="D3" s="20" t="s">
        <v>143</v>
      </c>
      <c r="E3" s="19">
        <v>1</v>
      </c>
      <c r="F3" s="19">
        <v>10</v>
      </c>
      <c r="G3" s="19">
        <f t="shared" ref="G3:G7" si="1">E3*(1-0.04)</f>
        <v>0.96</v>
      </c>
      <c r="H3" s="19">
        <f t="shared" ref="H3:H7" si="2">F3*(1-0.04)</f>
        <v>9.6</v>
      </c>
      <c r="I3" s="19">
        <f t="shared" ref="I3:I7" si="3">G3*(1-0.04)</f>
        <v>0.92159999999999997</v>
      </c>
      <c r="J3" s="19">
        <f t="shared" ref="J3:J7" si="4">H3*(1-0.04)</f>
        <v>9.2159999999999993</v>
      </c>
      <c r="K3" s="19">
        <f t="shared" ref="K3:K7" si="5">I3*(1-0.04)</f>
        <v>0.88473599999999997</v>
      </c>
      <c r="L3" s="19">
        <f t="shared" ref="L3:L7" si="6">J3*(1-0.04)</f>
        <v>8.8473599999999983</v>
      </c>
      <c r="M3">
        <v>4</v>
      </c>
      <c r="N3">
        <v>4</v>
      </c>
      <c r="O3">
        <v>4</v>
      </c>
      <c r="P3">
        <v>4</v>
      </c>
    </row>
    <row r="4" spans="1:20" x14ac:dyDescent="0.25">
      <c r="A4" t="s">
        <v>370</v>
      </c>
      <c r="B4" t="s">
        <v>141</v>
      </c>
      <c r="C4" t="s">
        <v>189</v>
      </c>
      <c r="D4" s="20" t="s">
        <v>143</v>
      </c>
      <c r="E4" s="19">
        <v>2</v>
      </c>
      <c r="F4" s="19">
        <v>12</v>
      </c>
      <c r="G4" s="19">
        <f t="shared" si="1"/>
        <v>1.92</v>
      </c>
      <c r="H4" s="19">
        <f t="shared" si="2"/>
        <v>11.52</v>
      </c>
      <c r="I4" s="19">
        <f t="shared" si="3"/>
        <v>1.8431999999999999</v>
      </c>
      <c r="J4" s="19">
        <f t="shared" si="4"/>
        <v>11.059199999999999</v>
      </c>
      <c r="K4" s="19">
        <f t="shared" si="5"/>
        <v>1.7694719999999999</v>
      </c>
      <c r="L4" s="19">
        <f t="shared" si="6"/>
        <v>10.616831999999999</v>
      </c>
      <c r="M4">
        <v>4</v>
      </c>
      <c r="N4">
        <v>4</v>
      </c>
      <c r="O4">
        <v>4</v>
      </c>
      <c r="P4">
        <v>4</v>
      </c>
    </row>
    <row r="5" spans="1:20" x14ac:dyDescent="0.25">
      <c r="A5" t="s">
        <v>371</v>
      </c>
      <c r="B5" t="s">
        <v>141</v>
      </c>
      <c r="C5" t="s">
        <v>189</v>
      </c>
      <c r="D5" s="20" t="s">
        <v>143</v>
      </c>
      <c r="E5" s="19">
        <v>2</v>
      </c>
      <c r="F5" s="19">
        <v>9</v>
      </c>
      <c r="G5" s="19">
        <f t="shared" si="1"/>
        <v>1.92</v>
      </c>
      <c r="H5" s="19">
        <f t="shared" si="2"/>
        <v>8.64</v>
      </c>
      <c r="I5" s="19">
        <f t="shared" si="3"/>
        <v>1.8431999999999999</v>
      </c>
      <c r="J5" s="19">
        <f t="shared" si="4"/>
        <v>8.2943999999999996</v>
      </c>
      <c r="K5" s="19">
        <f t="shared" si="5"/>
        <v>1.7694719999999999</v>
      </c>
      <c r="L5" s="19">
        <f t="shared" si="6"/>
        <v>7.962623999999999</v>
      </c>
      <c r="M5">
        <v>6</v>
      </c>
      <c r="N5">
        <v>6</v>
      </c>
      <c r="O5">
        <v>6</v>
      </c>
      <c r="P5">
        <v>6</v>
      </c>
    </row>
    <row r="6" spans="1:20" x14ac:dyDescent="0.25">
      <c r="A6" t="s">
        <v>372</v>
      </c>
      <c r="B6" t="s">
        <v>141</v>
      </c>
      <c r="C6" t="s">
        <v>189</v>
      </c>
      <c r="D6" s="20" t="s">
        <v>143</v>
      </c>
      <c r="E6" s="19">
        <v>3</v>
      </c>
      <c r="F6" s="19">
        <v>14</v>
      </c>
      <c r="G6" s="19">
        <f t="shared" si="1"/>
        <v>2.88</v>
      </c>
      <c r="H6" s="19">
        <f t="shared" si="2"/>
        <v>13.44</v>
      </c>
      <c r="I6" s="19">
        <f t="shared" si="3"/>
        <v>2.7647999999999997</v>
      </c>
      <c r="J6" s="19">
        <f t="shared" si="4"/>
        <v>12.902399999999998</v>
      </c>
      <c r="K6" s="19">
        <f t="shared" si="5"/>
        <v>2.6542079999999997</v>
      </c>
      <c r="L6" s="19">
        <f t="shared" si="6"/>
        <v>12.386303999999997</v>
      </c>
      <c r="M6">
        <v>6</v>
      </c>
      <c r="N6">
        <v>6</v>
      </c>
      <c r="O6">
        <v>6</v>
      </c>
      <c r="P6">
        <v>6</v>
      </c>
    </row>
    <row r="7" spans="1:20" x14ac:dyDescent="0.25">
      <c r="A7" t="s">
        <v>373</v>
      </c>
      <c r="B7" t="s">
        <v>141</v>
      </c>
      <c r="C7" t="s">
        <v>189</v>
      </c>
      <c r="D7" s="20" t="s">
        <v>143</v>
      </c>
      <c r="E7" s="19">
        <v>6</v>
      </c>
      <c r="F7" s="19">
        <v>20</v>
      </c>
      <c r="G7" s="19">
        <f t="shared" si="1"/>
        <v>5.76</v>
      </c>
      <c r="H7" s="19">
        <f t="shared" si="2"/>
        <v>19.2</v>
      </c>
      <c r="I7" s="19">
        <f t="shared" si="3"/>
        <v>5.5295999999999994</v>
      </c>
      <c r="J7" s="19">
        <f t="shared" si="4"/>
        <v>18.431999999999999</v>
      </c>
      <c r="K7" s="19">
        <f t="shared" si="5"/>
        <v>5.3084159999999994</v>
      </c>
      <c r="L7" s="19">
        <f t="shared" si="6"/>
        <v>17.694719999999997</v>
      </c>
      <c r="M7">
        <v>4</v>
      </c>
      <c r="N7">
        <v>6</v>
      </c>
      <c r="O7">
        <v>6</v>
      </c>
      <c r="P7">
        <v>6</v>
      </c>
    </row>
    <row r="8" spans="1:20" x14ac:dyDescent="0.25">
      <c r="M8" s="30" t="s">
        <v>196</v>
      </c>
      <c r="N8" s="31"/>
      <c r="O8" s="31"/>
      <c r="P8" s="31"/>
    </row>
    <row r="13" spans="1:20" x14ac:dyDescent="0.25">
      <c r="B13" s="20"/>
    </row>
  </sheetData>
  <mergeCells count="1">
    <mergeCell ref="M8:P8"/>
  </mergeCells>
  <hyperlinks>
    <hyperlink ref="D2" r:id="rId1" xr:uid="{A5679434-BC43-FB42-B551-F5AAC422936F}"/>
    <hyperlink ref="D3" r:id="rId2" xr:uid="{3D5C4393-5130-5D4B-902F-090AA67D7F0A}"/>
    <hyperlink ref="D4" r:id="rId3" xr:uid="{DC502D1B-B4DB-ED48-AF0D-A955658B0DDD}"/>
    <hyperlink ref="D5" r:id="rId4" xr:uid="{CC6725A0-28A5-874F-BF71-6A4177A303E4}"/>
    <hyperlink ref="D6" r:id="rId5" xr:uid="{A260ADD3-024E-B547-8B29-3B2038635988}"/>
    <hyperlink ref="D7" r:id="rId6" xr:uid="{02FC7989-2087-B646-90F7-B3F732B5BD32}"/>
    <hyperlink ref="M8" r:id="rId7" xr:uid="{3727FB05-FF3E-1248-9C4B-AEF27CF4196A}"/>
  </hyperlinks>
  <pageMargins left="0.7" right="0.7" top="0.78740157499999996" bottom="0.78740157499999996" header="0.3" footer="0.3"/>
  <legacy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FCAF-AC2E-439B-9780-255FE32E0828}">
  <dimension ref="A1:F6"/>
  <sheetViews>
    <sheetView zoomScale="89" workbookViewId="0">
      <selection activeCell="B7" sqref="B7"/>
    </sheetView>
  </sheetViews>
  <sheetFormatPr baseColWidth="10" defaultColWidth="11.42578125" defaultRowHeight="15" x14ac:dyDescent="0.25"/>
  <cols>
    <col min="1" max="1" width="29.42578125" customWidth="1"/>
    <col min="2" max="2" width="21.140625" customWidth="1"/>
    <col min="3" max="3" width="15" customWidth="1"/>
    <col min="4" max="4" width="18" customWidth="1"/>
    <col min="5" max="5" width="18.42578125" customWidth="1"/>
    <col min="6" max="6" width="46" customWidth="1"/>
  </cols>
  <sheetData>
    <row r="1" spans="1:6" x14ac:dyDescent="0.25">
      <c r="A1" s="2" t="s">
        <v>173</v>
      </c>
      <c r="B1" s="2" t="s">
        <v>174</v>
      </c>
      <c r="C1" s="2" t="s">
        <v>176</v>
      </c>
      <c r="D1" s="2" t="s">
        <v>175</v>
      </c>
      <c r="E1" s="2" t="s">
        <v>63</v>
      </c>
      <c r="F1" s="2" t="s">
        <v>61</v>
      </c>
    </row>
    <row r="2" spans="1:6" x14ac:dyDescent="0.25">
      <c r="A2" t="s">
        <v>159</v>
      </c>
      <c r="B2" t="s">
        <v>160</v>
      </c>
      <c r="C2">
        <v>31</v>
      </c>
      <c r="D2">
        <v>39</v>
      </c>
      <c r="E2" t="s">
        <v>162</v>
      </c>
      <c r="F2" t="s">
        <v>163</v>
      </c>
    </row>
    <row r="3" spans="1:6" x14ac:dyDescent="0.25">
      <c r="B3" t="s">
        <v>161</v>
      </c>
      <c r="C3">
        <v>52</v>
      </c>
      <c r="D3">
        <v>56</v>
      </c>
      <c r="E3" t="s">
        <v>164</v>
      </c>
      <c r="F3" t="s">
        <v>163</v>
      </c>
    </row>
    <row r="4" spans="1:6" x14ac:dyDescent="0.25">
      <c r="B4" t="s">
        <v>165</v>
      </c>
      <c r="C4">
        <v>78</v>
      </c>
      <c r="D4">
        <v>79</v>
      </c>
      <c r="E4" t="s">
        <v>166</v>
      </c>
      <c r="F4" t="s">
        <v>163</v>
      </c>
    </row>
    <row r="5" spans="1:6" x14ac:dyDescent="0.25">
      <c r="A5" t="s">
        <v>167</v>
      </c>
      <c r="B5" t="s">
        <v>168</v>
      </c>
      <c r="C5">
        <v>31</v>
      </c>
      <c r="D5">
        <v>38</v>
      </c>
      <c r="E5" t="s">
        <v>169</v>
      </c>
      <c r="F5" t="s">
        <v>170</v>
      </c>
    </row>
    <row r="6" spans="1:6" x14ac:dyDescent="0.25">
      <c r="B6" t="s">
        <v>171</v>
      </c>
      <c r="C6">
        <v>40</v>
      </c>
      <c r="D6">
        <v>42</v>
      </c>
      <c r="E6" t="s">
        <v>172</v>
      </c>
      <c r="F6" t="s">
        <v>170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64EF-9F92-5B4E-8939-9DCED9FE8D73}">
  <dimension ref="A1:I7"/>
  <sheetViews>
    <sheetView workbookViewId="0">
      <selection activeCell="C22" sqref="C22"/>
    </sheetView>
  </sheetViews>
  <sheetFormatPr baseColWidth="10" defaultColWidth="11.42578125" defaultRowHeight="15" x14ac:dyDescent="0.25"/>
  <cols>
    <col min="2" max="2" width="47" customWidth="1"/>
    <col min="3" max="3" width="40.85546875" customWidth="1"/>
    <col min="4" max="4" width="20.42578125" customWidth="1"/>
    <col min="5" max="5" width="21.42578125" customWidth="1"/>
    <col min="7" max="7" width="73.85546875" customWidth="1"/>
  </cols>
  <sheetData>
    <row r="1" spans="1:9" x14ac:dyDescent="0.25">
      <c r="A1" s="2" t="s">
        <v>15</v>
      </c>
      <c r="B1" s="2" t="s">
        <v>177</v>
      </c>
      <c r="C1" s="2" t="s">
        <v>18</v>
      </c>
      <c r="D1" s="2" t="s">
        <v>291</v>
      </c>
      <c r="E1" s="2" t="s">
        <v>51</v>
      </c>
      <c r="F1" s="2" t="s">
        <v>63</v>
      </c>
      <c r="G1" s="2" t="s">
        <v>61</v>
      </c>
      <c r="H1" s="2" t="s">
        <v>365</v>
      </c>
      <c r="I1" s="2" t="s">
        <v>366</v>
      </c>
    </row>
    <row r="2" spans="1:9" x14ac:dyDescent="0.25">
      <c r="A2" t="s">
        <v>65</v>
      </c>
      <c r="B2" t="s">
        <v>178</v>
      </c>
      <c r="C2" t="s">
        <v>67</v>
      </c>
      <c r="D2" t="s">
        <v>367</v>
      </c>
      <c r="E2">
        <v>1000000</v>
      </c>
      <c r="F2" t="s">
        <v>179</v>
      </c>
      <c r="H2" t="s">
        <v>290</v>
      </c>
      <c r="I2" t="s">
        <v>136</v>
      </c>
    </row>
    <row r="3" spans="1:9" x14ac:dyDescent="0.25">
      <c r="A3" t="s">
        <v>65</v>
      </c>
      <c r="B3" t="s">
        <v>180</v>
      </c>
      <c r="C3" t="s">
        <v>67</v>
      </c>
      <c r="D3" t="s">
        <v>367</v>
      </c>
      <c r="E3">
        <v>700000</v>
      </c>
      <c r="F3" t="s">
        <v>179</v>
      </c>
      <c r="H3" t="s">
        <v>290</v>
      </c>
      <c r="I3" t="s">
        <v>136</v>
      </c>
    </row>
    <row r="4" spans="1:9" x14ac:dyDescent="0.25">
      <c r="A4" t="s">
        <v>65</v>
      </c>
      <c r="B4" t="s">
        <v>181</v>
      </c>
      <c r="C4" t="s">
        <v>67</v>
      </c>
      <c r="D4" t="s">
        <v>367</v>
      </c>
      <c r="E4">
        <v>400000</v>
      </c>
      <c r="F4" t="s">
        <v>179</v>
      </c>
      <c r="H4" t="s">
        <v>289</v>
      </c>
      <c r="I4" t="s">
        <v>135</v>
      </c>
    </row>
    <row r="5" spans="1:9" x14ac:dyDescent="0.25">
      <c r="A5" t="s">
        <v>113</v>
      </c>
      <c r="B5" t="s">
        <v>182</v>
      </c>
      <c r="C5" t="s">
        <v>67</v>
      </c>
      <c r="D5" t="s">
        <v>367</v>
      </c>
      <c r="E5">
        <v>125000</v>
      </c>
      <c r="F5" t="s">
        <v>179</v>
      </c>
      <c r="H5" t="s">
        <v>288</v>
      </c>
      <c r="I5" t="s">
        <v>292</v>
      </c>
    </row>
    <row r="6" spans="1:9" x14ac:dyDescent="0.25">
      <c r="A6" t="s">
        <v>113</v>
      </c>
      <c r="B6" t="s">
        <v>183</v>
      </c>
      <c r="C6" t="s">
        <v>68</v>
      </c>
      <c r="D6" t="s">
        <v>363</v>
      </c>
      <c r="E6">
        <v>100000</v>
      </c>
      <c r="F6" t="s">
        <v>179</v>
      </c>
      <c r="H6" t="s">
        <v>68</v>
      </c>
      <c r="I6" t="s">
        <v>139</v>
      </c>
    </row>
    <row r="7" spans="1:9" x14ac:dyDescent="0.25">
      <c r="A7" t="s">
        <v>113</v>
      </c>
      <c r="B7" t="s">
        <v>184</v>
      </c>
      <c r="C7" t="s">
        <v>67</v>
      </c>
      <c r="D7" t="s">
        <v>367</v>
      </c>
      <c r="E7">
        <v>160000</v>
      </c>
      <c r="F7" t="s">
        <v>179</v>
      </c>
      <c r="H7" t="s">
        <v>290</v>
      </c>
      <c r="I7" t="s">
        <v>136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7FE9-F5D5-9145-9065-3A818DD348F0}">
  <dimension ref="A1:A22"/>
  <sheetViews>
    <sheetView workbookViewId="0">
      <selection activeCell="A32" sqref="A32"/>
    </sheetView>
  </sheetViews>
  <sheetFormatPr baseColWidth="10" defaultColWidth="10.85546875" defaultRowHeight="15" x14ac:dyDescent="0.25"/>
  <cols>
    <col min="1" max="1" width="134" customWidth="1"/>
  </cols>
  <sheetData>
    <row r="1" spans="1:1" x14ac:dyDescent="0.25">
      <c r="A1" s="17" t="s">
        <v>63</v>
      </c>
    </row>
    <row r="2" spans="1:1" x14ac:dyDescent="0.25">
      <c r="A2" s="23" t="s">
        <v>133</v>
      </c>
    </row>
    <row r="3" spans="1:1" x14ac:dyDescent="0.25">
      <c r="A3" s="20" t="s">
        <v>114</v>
      </c>
    </row>
    <row r="4" spans="1:1" x14ac:dyDescent="0.25">
      <c r="A4" s="20" t="s">
        <v>144</v>
      </c>
    </row>
    <row r="5" spans="1:1" x14ac:dyDescent="0.25">
      <c r="A5" s="20" t="s">
        <v>145</v>
      </c>
    </row>
    <row r="6" spans="1:1" x14ac:dyDescent="0.25">
      <c r="A6" s="20" t="s">
        <v>146</v>
      </c>
    </row>
    <row r="7" spans="1:1" x14ac:dyDescent="0.25">
      <c r="A7" s="20" t="s">
        <v>148</v>
      </c>
    </row>
    <row r="8" spans="1:1" x14ac:dyDescent="0.25">
      <c r="A8" s="20" t="s">
        <v>153</v>
      </c>
    </row>
    <row r="9" spans="1:1" x14ac:dyDescent="0.25">
      <c r="A9" s="20" t="s">
        <v>114</v>
      </c>
    </row>
    <row r="10" spans="1:1" x14ac:dyDescent="0.25">
      <c r="A10" s="20" t="s">
        <v>187</v>
      </c>
    </row>
    <row r="11" spans="1:1" x14ac:dyDescent="0.25">
      <c r="A11" s="20" t="s">
        <v>187</v>
      </c>
    </row>
    <row r="12" spans="1:1" x14ac:dyDescent="0.25">
      <c r="A12" s="20" t="s">
        <v>188</v>
      </c>
    </row>
    <row r="13" spans="1:1" x14ac:dyDescent="0.25">
      <c r="A13" s="20" t="s">
        <v>190</v>
      </c>
    </row>
    <row r="14" spans="1:1" x14ac:dyDescent="0.25">
      <c r="A14" s="20" t="s">
        <v>132</v>
      </c>
    </row>
    <row r="15" spans="1:1" x14ac:dyDescent="0.25">
      <c r="A15" s="20" t="s">
        <v>191</v>
      </c>
    </row>
    <row r="16" spans="1:1" x14ac:dyDescent="0.25">
      <c r="A16" s="20" t="s">
        <v>192</v>
      </c>
    </row>
    <row r="17" spans="1:1" x14ac:dyDescent="0.25">
      <c r="A17" s="20" t="s">
        <v>193</v>
      </c>
    </row>
    <row r="18" spans="1:1" x14ac:dyDescent="0.25">
      <c r="A18" s="20" t="s">
        <v>194</v>
      </c>
    </row>
    <row r="19" spans="1:1" x14ac:dyDescent="0.25">
      <c r="A19" s="20" t="s">
        <v>195</v>
      </c>
    </row>
    <row r="20" spans="1:1" x14ac:dyDescent="0.25">
      <c r="A20" s="20" t="s">
        <v>187</v>
      </c>
    </row>
    <row r="21" spans="1:1" x14ac:dyDescent="0.25">
      <c r="A21" s="20" t="s">
        <v>197</v>
      </c>
    </row>
    <row r="22" spans="1:1" x14ac:dyDescent="0.25">
      <c r="A22" s="20" t="s">
        <v>188</v>
      </c>
    </row>
  </sheetData>
  <hyperlinks>
    <hyperlink ref="A2" r:id="rId1" xr:uid="{EFD2B191-FDDA-6F44-BC01-EA1778F4792A}"/>
    <hyperlink ref="A3" r:id="rId2" xr:uid="{7AEF3997-3611-BF4F-BA38-2D187430C6AB}"/>
    <hyperlink ref="A4" r:id="rId3" xr:uid="{FA6CBA19-B258-8041-870A-19E9DBB6FA4B}"/>
    <hyperlink ref="A5" r:id="rId4" xr:uid="{98C1EDF4-FB9E-024E-8BC0-A4C28523A44A}"/>
    <hyperlink ref="A6" r:id="rId5" xr:uid="{557A41F5-AC4A-D24C-9F9D-4D9CDFE24E9E}"/>
    <hyperlink ref="A7" r:id="rId6" xr:uid="{7065FD2A-C4D9-124C-AED3-5627852E4B7B}"/>
    <hyperlink ref="A8" r:id="rId7" xr:uid="{1683E7F9-25BE-BF4E-875D-22AF014C821C}"/>
    <hyperlink ref="A9" r:id="rId8" xr:uid="{828CAB2B-2C8F-D54C-B10A-C39D0D04B79B}"/>
    <hyperlink ref="A10" r:id="rId9" xr:uid="{DA78A2C3-1B58-7C41-B04C-631DE92AF1F4}"/>
    <hyperlink ref="A11" r:id="rId10" xr:uid="{1D9EA22A-6E32-3F42-85EC-5739BFAB1494}"/>
    <hyperlink ref="A12" r:id="rId11" xr:uid="{B892612E-BC17-DC40-830B-55776F6445ED}"/>
    <hyperlink ref="A13" r:id="rId12" xr:uid="{95788208-ADE6-9A44-8B0D-5026FCCA1A8C}"/>
    <hyperlink ref="A14" r:id="rId13" xr:uid="{0C252F9B-B933-AC45-9247-99DA921C7094}"/>
    <hyperlink ref="A15" r:id="rId14" xr:uid="{48E895E4-FFD5-3341-B37B-EEC26B8484C9}"/>
    <hyperlink ref="A16" r:id="rId15" xr:uid="{9F2ED2D2-02E7-EC43-9BEA-EA6837D0B2E8}"/>
    <hyperlink ref="A17" r:id="rId16" xr:uid="{86623661-AF41-2645-88FF-9F9128D863A2}"/>
    <hyperlink ref="A18" r:id="rId17" xr:uid="{54B64530-67A8-424C-B978-43A09146C154}"/>
    <hyperlink ref="A19" r:id="rId18" xr:uid="{54673689-97F0-EE42-8251-CD74564A877A}"/>
    <hyperlink ref="A20" r:id="rId19" xr:uid="{E4973805-DDCA-F94D-920B-E38F7D45A5F3}"/>
    <hyperlink ref="A21" r:id="rId20" xr:uid="{16BB0835-9CC6-8043-A6B7-1ADDCBF874A4}"/>
    <hyperlink ref="A22" r:id="rId21" xr:uid="{BE0F76A0-209E-D643-9BF4-801E08925D0C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22285-B737-D64A-A900-4375D283319C}">
  <dimension ref="A1:F37"/>
  <sheetViews>
    <sheetView zoomScale="112" workbookViewId="0">
      <selection activeCell="L43" sqref="L43"/>
    </sheetView>
  </sheetViews>
  <sheetFormatPr baseColWidth="10" defaultColWidth="11.42578125" defaultRowHeight="15" x14ac:dyDescent="0.25"/>
  <cols>
    <col min="2" max="2" width="18.42578125" customWidth="1"/>
    <col min="3" max="3" width="21" customWidth="1"/>
    <col min="4" max="4" width="24.140625" customWidth="1"/>
    <col min="5" max="5" width="33" customWidth="1"/>
    <col min="6" max="6" width="59.42578125" customWidth="1"/>
  </cols>
  <sheetData>
    <row r="1" spans="1:6" ht="15.95" customHeight="1" x14ac:dyDescent="0.25">
      <c r="A1" s="2" t="s">
        <v>62</v>
      </c>
      <c r="B1" s="2" t="s">
        <v>15</v>
      </c>
      <c r="C1" s="2" t="s">
        <v>17</v>
      </c>
      <c r="D1" s="2" t="s">
        <v>20</v>
      </c>
      <c r="E1" s="2" t="s">
        <v>64</v>
      </c>
      <c r="F1" s="2" t="s">
        <v>116</v>
      </c>
    </row>
    <row r="2" spans="1:6" x14ac:dyDescent="0.25">
      <c r="A2">
        <v>2025</v>
      </c>
      <c r="B2" t="s">
        <v>65</v>
      </c>
      <c r="C2" t="s">
        <v>70</v>
      </c>
      <c r="D2">
        <f>320249/1000</f>
        <v>320.24900000000002</v>
      </c>
      <c r="E2" s="20" t="s">
        <v>148</v>
      </c>
      <c r="F2" t="s">
        <v>149</v>
      </c>
    </row>
    <row r="3" spans="1:6" x14ac:dyDescent="0.25">
      <c r="A3">
        <v>2025</v>
      </c>
      <c r="B3" t="s">
        <v>66</v>
      </c>
      <c r="C3" t="s">
        <v>70</v>
      </c>
      <c r="D3">
        <f>(4076+2004)/1000</f>
        <v>6.08</v>
      </c>
      <c r="E3" s="20" t="s">
        <v>148</v>
      </c>
      <c r="F3" t="s">
        <v>150</v>
      </c>
    </row>
    <row r="4" spans="1:6" x14ac:dyDescent="0.25">
      <c r="A4">
        <v>2025</v>
      </c>
      <c r="B4" t="s">
        <v>66</v>
      </c>
      <c r="C4" t="s">
        <v>65</v>
      </c>
    </row>
    <row r="5" spans="1:6" x14ac:dyDescent="0.25">
      <c r="A5">
        <v>2025</v>
      </c>
      <c r="B5" t="s">
        <v>70</v>
      </c>
      <c r="C5" t="s">
        <v>65</v>
      </c>
      <c r="D5">
        <v>0</v>
      </c>
      <c r="F5" t="s">
        <v>198</v>
      </c>
    </row>
    <row r="6" spans="1:6" x14ac:dyDescent="0.25">
      <c r="A6">
        <v>2025</v>
      </c>
      <c r="B6" t="s">
        <v>70</v>
      </c>
      <c r="C6" t="s">
        <v>66</v>
      </c>
      <c r="D6">
        <f>13*11.11</f>
        <v>144.43</v>
      </c>
      <c r="E6" s="20" t="s">
        <v>147</v>
      </c>
    </row>
    <row r="7" spans="1:6" x14ac:dyDescent="0.25">
      <c r="A7">
        <v>2025</v>
      </c>
      <c r="B7" t="s">
        <v>65</v>
      </c>
      <c r="C7" t="s">
        <v>66</v>
      </c>
      <c r="D7">
        <f>89*11.1</f>
        <v>987.9</v>
      </c>
      <c r="E7" s="20" t="s">
        <v>147</v>
      </c>
    </row>
    <row r="8" spans="1:6" x14ac:dyDescent="0.25">
      <c r="A8">
        <v>2030</v>
      </c>
      <c r="B8" t="s">
        <v>65</v>
      </c>
      <c r="C8" t="s">
        <v>70</v>
      </c>
    </row>
    <row r="9" spans="1:6" x14ac:dyDescent="0.25">
      <c r="A9">
        <v>2030</v>
      </c>
      <c r="B9" t="s">
        <v>66</v>
      </c>
      <c r="C9" t="s">
        <v>70</v>
      </c>
    </row>
    <row r="10" spans="1:6" x14ac:dyDescent="0.25">
      <c r="A10">
        <v>2030</v>
      </c>
      <c r="B10" t="s">
        <v>66</v>
      </c>
      <c r="C10" t="s">
        <v>65</v>
      </c>
    </row>
    <row r="11" spans="1:6" x14ac:dyDescent="0.25">
      <c r="A11">
        <v>2030</v>
      </c>
      <c r="B11" t="s">
        <v>70</v>
      </c>
      <c r="C11" t="s">
        <v>65</v>
      </c>
    </row>
    <row r="12" spans="1:6" x14ac:dyDescent="0.25">
      <c r="A12">
        <v>2030</v>
      </c>
      <c r="B12" t="s">
        <v>70</v>
      </c>
      <c r="C12" t="s">
        <v>66</v>
      </c>
      <c r="E12" t="s">
        <v>199</v>
      </c>
    </row>
    <row r="13" spans="1:6" x14ac:dyDescent="0.25">
      <c r="A13">
        <v>2030</v>
      </c>
      <c r="B13" t="s">
        <v>65</v>
      </c>
      <c r="C13" t="s">
        <v>66</v>
      </c>
    </row>
    <row r="14" spans="1:6" x14ac:dyDescent="0.25">
      <c r="A14">
        <v>2035</v>
      </c>
      <c r="B14" t="s">
        <v>65</v>
      </c>
      <c r="C14" t="s">
        <v>70</v>
      </c>
    </row>
    <row r="15" spans="1:6" x14ac:dyDescent="0.25">
      <c r="A15">
        <v>2035</v>
      </c>
      <c r="B15" t="s">
        <v>66</v>
      </c>
      <c r="C15" t="s">
        <v>70</v>
      </c>
    </row>
    <row r="16" spans="1:6" x14ac:dyDescent="0.25">
      <c r="A16">
        <v>2035</v>
      </c>
      <c r="B16" t="s">
        <v>66</v>
      </c>
      <c r="C16" t="s">
        <v>65</v>
      </c>
    </row>
    <row r="17" spans="1:3" x14ac:dyDescent="0.25">
      <c r="A17">
        <v>2035</v>
      </c>
      <c r="B17" t="s">
        <v>70</v>
      </c>
      <c r="C17" t="s">
        <v>65</v>
      </c>
    </row>
    <row r="18" spans="1:3" x14ac:dyDescent="0.25">
      <c r="A18">
        <v>2035</v>
      </c>
      <c r="B18" t="s">
        <v>70</v>
      </c>
      <c r="C18" t="s">
        <v>66</v>
      </c>
    </row>
    <row r="19" spans="1:3" x14ac:dyDescent="0.25">
      <c r="A19">
        <v>2035</v>
      </c>
      <c r="B19" t="s">
        <v>65</v>
      </c>
      <c r="C19" t="s">
        <v>66</v>
      </c>
    </row>
    <row r="20" spans="1:3" x14ac:dyDescent="0.25">
      <c r="A20" s="22">
        <v>2040</v>
      </c>
      <c r="B20" s="22" t="s">
        <v>65</v>
      </c>
      <c r="C20" s="22" t="s">
        <v>70</v>
      </c>
    </row>
    <row r="21" spans="1:3" x14ac:dyDescent="0.25">
      <c r="A21" s="22">
        <v>2040</v>
      </c>
      <c r="B21" s="22" t="s">
        <v>66</v>
      </c>
      <c r="C21" s="22" t="s">
        <v>70</v>
      </c>
    </row>
    <row r="22" spans="1:3" x14ac:dyDescent="0.25">
      <c r="A22" s="22">
        <v>2040</v>
      </c>
      <c r="B22" s="22" t="s">
        <v>66</v>
      </c>
      <c r="C22" s="22" t="s">
        <v>65</v>
      </c>
    </row>
    <row r="23" spans="1:3" x14ac:dyDescent="0.25">
      <c r="A23" s="22">
        <v>2040</v>
      </c>
      <c r="B23" s="22" t="s">
        <v>70</v>
      </c>
      <c r="C23" s="22" t="s">
        <v>65</v>
      </c>
    </row>
    <row r="24" spans="1:3" x14ac:dyDescent="0.25">
      <c r="A24" s="22">
        <v>2040</v>
      </c>
      <c r="B24" s="22" t="s">
        <v>70</v>
      </c>
      <c r="C24" s="22" t="s">
        <v>66</v>
      </c>
    </row>
    <row r="25" spans="1:3" x14ac:dyDescent="0.25">
      <c r="A25" s="22">
        <v>2040</v>
      </c>
      <c r="B25" s="22" t="s">
        <v>65</v>
      </c>
      <c r="C25" s="22" t="s">
        <v>66</v>
      </c>
    </row>
    <row r="26" spans="1:3" x14ac:dyDescent="0.25">
      <c r="A26" s="22">
        <v>2045</v>
      </c>
      <c r="B26" s="22" t="s">
        <v>65</v>
      </c>
      <c r="C26" s="22" t="s">
        <v>70</v>
      </c>
    </row>
    <row r="27" spans="1:3" x14ac:dyDescent="0.25">
      <c r="A27" s="22">
        <v>2045</v>
      </c>
      <c r="B27" s="22" t="s">
        <v>66</v>
      </c>
      <c r="C27" s="22" t="s">
        <v>70</v>
      </c>
    </row>
    <row r="28" spans="1:3" x14ac:dyDescent="0.25">
      <c r="A28" s="22">
        <v>2045</v>
      </c>
      <c r="B28" s="22" t="s">
        <v>66</v>
      </c>
      <c r="C28" s="22" t="s">
        <v>65</v>
      </c>
    </row>
    <row r="29" spans="1:3" x14ac:dyDescent="0.25">
      <c r="A29" s="22">
        <v>2045</v>
      </c>
      <c r="B29" s="22" t="s">
        <v>70</v>
      </c>
      <c r="C29" s="22" t="s">
        <v>65</v>
      </c>
    </row>
    <row r="30" spans="1:3" x14ac:dyDescent="0.25">
      <c r="A30" s="22">
        <v>2045</v>
      </c>
      <c r="B30" s="22" t="s">
        <v>70</v>
      </c>
      <c r="C30" s="22" t="s">
        <v>66</v>
      </c>
    </row>
    <row r="31" spans="1:3" x14ac:dyDescent="0.25">
      <c r="A31" s="22">
        <v>2045</v>
      </c>
      <c r="B31" s="22" t="s">
        <v>65</v>
      </c>
      <c r="C31" s="22" t="s">
        <v>66</v>
      </c>
    </row>
    <row r="32" spans="1:3" x14ac:dyDescent="0.25">
      <c r="A32" s="22">
        <v>2050</v>
      </c>
      <c r="B32" s="22" t="s">
        <v>65</v>
      </c>
      <c r="C32" s="22" t="s">
        <v>70</v>
      </c>
    </row>
    <row r="33" spans="1:3" x14ac:dyDescent="0.25">
      <c r="A33" s="22">
        <v>2050</v>
      </c>
      <c r="B33" s="22" t="s">
        <v>66</v>
      </c>
      <c r="C33" s="22" t="s">
        <v>70</v>
      </c>
    </row>
    <row r="34" spans="1:3" x14ac:dyDescent="0.25">
      <c r="A34" s="22">
        <v>2050</v>
      </c>
      <c r="B34" s="22" t="s">
        <v>66</v>
      </c>
      <c r="C34" s="22" t="s">
        <v>65</v>
      </c>
    </row>
    <row r="35" spans="1:3" x14ac:dyDescent="0.25">
      <c r="A35" s="22">
        <v>2050</v>
      </c>
      <c r="B35" s="22" t="s">
        <v>70</v>
      </c>
      <c r="C35" s="22" t="s">
        <v>65</v>
      </c>
    </row>
    <row r="36" spans="1:3" x14ac:dyDescent="0.25">
      <c r="A36" s="22">
        <v>2050</v>
      </c>
      <c r="B36" s="22" t="s">
        <v>70</v>
      </c>
      <c r="C36" s="22" t="s">
        <v>66</v>
      </c>
    </row>
    <row r="37" spans="1:3" x14ac:dyDescent="0.25">
      <c r="A37" s="22">
        <v>2050</v>
      </c>
      <c r="B37" s="22" t="s">
        <v>65</v>
      </c>
      <c r="C37" s="22" t="s">
        <v>66</v>
      </c>
    </row>
  </sheetData>
  <hyperlinks>
    <hyperlink ref="E3" r:id="rId1" xr:uid="{8F9CD337-55FB-6543-BA5A-4C34008FA9D4}"/>
    <hyperlink ref="E7" r:id="rId2" xr:uid="{078F77FC-1E89-924C-AC3D-F116279B69DB}"/>
    <hyperlink ref="E6" r:id="rId3" xr:uid="{DF8B0E6A-CB52-DC43-A5F0-947ED0C9CEA9}"/>
  </hyperlinks>
  <pageMargins left="0.7" right="0.7" top="0.78740157499999996" bottom="0.78740157499999996" header="0.3" footer="0.3"/>
  <legacy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E1E2-6378-5242-8E90-E0AFD3A68BAF}">
  <dimension ref="A1:K34"/>
  <sheetViews>
    <sheetView zoomScale="57" workbookViewId="0">
      <selection activeCell="M12" sqref="M12"/>
    </sheetView>
  </sheetViews>
  <sheetFormatPr baseColWidth="10" defaultColWidth="10.85546875" defaultRowHeight="15" x14ac:dyDescent="0.25"/>
  <cols>
    <col min="3" max="5" width="19.140625" customWidth="1"/>
    <col min="6" max="6" width="34.5703125" customWidth="1"/>
    <col min="7" max="7" width="49.140625" customWidth="1"/>
  </cols>
  <sheetData>
    <row r="1" spans="1:11" x14ac:dyDescent="0.25">
      <c r="A1" s="2" t="s">
        <v>62</v>
      </c>
      <c r="B1" s="2" t="s">
        <v>15</v>
      </c>
      <c r="C1" s="2" t="s">
        <v>232</v>
      </c>
      <c r="D1" s="2" t="s">
        <v>233</v>
      </c>
      <c r="E1" s="2" t="s">
        <v>234</v>
      </c>
      <c r="F1" s="2" t="s">
        <v>64</v>
      </c>
      <c r="G1" s="2" t="s">
        <v>116</v>
      </c>
    </row>
    <row r="2" spans="1:11" x14ac:dyDescent="0.25">
      <c r="A2">
        <v>2025</v>
      </c>
      <c r="B2" t="s">
        <v>65</v>
      </c>
      <c r="C2" s="18">
        <f>12832.525974026</f>
        <v>12832.525974026001</v>
      </c>
      <c r="D2" s="25">
        <v>803</v>
      </c>
      <c r="E2" s="25">
        <v>1194185</v>
      </c>
      <c r="F2" s="21" t="s">
        <v>200</v>
      </c>
      <c r="K2" t="s">
        <v>235</v>
      </c>
    </row>
    <row r="3" spans="1:11" x14ac:dyDescent="0.25">
      <c r="A3">
        <v>2024</v>
      </c>
      <c r="B3" t="s">
        <v>65</v>
      </c>
      <c r="C3" s="18">
        <f>12602.1168831169</f>
        <v>12602.1168831169</v>
      </c>
      <c r="D3" s="25">
        <v>746</v>
      </c>
      <c r="E3" s="25">
        <v>1236785</v>
      </c>
      <c r="F3" s="21" t="s">
        <v>201</v>
      </c>
      <c r="K3" t="s">
        <v>236</v>
      </c>
    </row>
    <row r="4" spans="1:11" x14ac:dyDescent="0.25">
      <c r="A4">
        <v>2023</v>
      </c>
      <c r="B4" t="s">
        <v>65</v>
      </c>
      <c r="C4" s="18">
        <f>12371.7077922078</f>
        <v>12371.707792207801</v>
      </c>
      <c r="D4" s="25">
        <v>1014</v>
      </c>
      <c r="E4" s="25">
        <v>1151452</v>
      </c>
      <c r="F4" s="21" t="s">
        <v>202</v>
      </c>
    </row>
    <row r="5" spans="1:11" x14ac:dyDescent="0.25">
      <c r="A5">
        <v>2022</v>
      </c>
      <c r="B5" t="s">
        <v>65</v>
      </c>
      <c r="C5" s="18">
        <f>12141.2987012987</f>
        <v>12141.2987012987</v>
      </c>
      <c r="D5" s="25">
        <v>671</v>
      </c>
      <c r="E5" s="25">
        <v>1218513</v>
      </c>
      <c r="F5" s="21" t="s">
        <v>203</v>
      </c>
    </row>
    <row r="6" spans="1:11" x14ac:dyDescent="0.25">
      <c r="A6">
        <v>2021</v>
      </c>
      <c r="B6" t="s">
        <v>65</v>
      </c>
      <c r="C6" s="18">
        <f>11910.8896103896</f>
        <v>11910.8896103896</v>
      </c>
      <c r="D6" s="25">
        <v>1574</v>
      </c>
      <c r="E6" s="25">
        <v>1118212</v>
      </c>
      <c r="F6" s="21" t="s">
        <v>204</v>
      </c>
    </row>
    <row r="7" spans="1:11" x14ac:dyDescent="0.25">
      <c r="A7">
        <v>2020</v>
      </c>
      <c r="B7" t="s">
        <v>65</v>
      </c>
      <c r="C7" s="18">
        <f>11680.4805194805</f>
        <v>11680.480519480499</v>
      </c>
      <c r="D7" s="25">
        <v>331</v>
      </c>
      <c r="E7" s="25">
        <v>1080178</v>
      </c>
      <c r="F7" s="21" t="s">
        <v>205</v>
      </c>
    </row>
    <row r="8" spans="1:11" x14ac:dyDescent="0.25">
      <c r="A8">
        <v>2019</v>
      </c>
      <c r="B8" t="s">
        <v>65</v>
      </c>
      <c r="C8" s="18">
        <f>11450.0714285714</f>
        <v>11450.0714285714</v>
      </c>
      <c r="D8" s="25">
        <v>264</v>
      </c>
      <c r="E8" s="25">
        <v>1115521</v>
      </c>
      <c r="F8" s="21" t="s">
        <v>206</v>
      </c>
    </row>
    <row r="9" spans="1:11" x14ac:dyDescent="0.25">
      <c r="A9">
        <v>2018</v>
      </c>
      <c r="B9" t="s">
        <v>65</v>
      </c>
      <c r="C9" s="18">
        <f>9967</f>
        <v>9967</v>
      </c>
      <c r="D9" s="25">
        <v>123</v>
      </c>
      <c r="E9" s="25">
        <v>1177670</v>
      </c>
      <c r="F9" s="21" t="s">
        <v>207</v>
      </c>
    </row>
    <row r="10" spans="1:11" x14ac:dyDescent="0.25">
      <c r="A10">
        <v>2017</v>
      </c>
      <c r="B10" t="s">
        <v>65</v>
      </c>
      <c r="C10" s="18">
        <f>11102</f>
        <v>11102</v>
      </c>
      <c r="D10" s="25">
        <v>300</v>
      </c>
      <c r="E10" s="25">
        <v>1209421</v>
      </c>
      <c r="F10" s="21" t="s">
        <v>208</v>
      </c>
    </row>
    <row r="11" spans="1:11" x14ac:dyDescent="0.25">
      <c r="A11">
        <v>2916</v>
      </c>
      <c r="B11" t="s">
        <v>65</v>
      </c>
      <c r="C11" s="18">
        <f>10032</f>
        <v>10032</v>
      </c>
      <c r="D11" s="25">
        <v>445</v>
      </c>
      <c r="E11" s="25">
        <v>1124205</v>
      </c>
      <c r="F11" s="21" t="s">
        <v>209</v>
      </c>
    </row>
    <row r="12" spans="1:11" x14ac:dyDescent="0.25">
      <c r="A12">
        <v>2915</v>
      </c>
      <c r="B12" t="s">
        <v>65</v>
      </c>
      <c r="C12" s="18">
        <f>11232</f>
        <v>11232</v>
      </c>
      <c r="D12" s="25">
        <v>171</v>
      </c>
      <c r="E12" s="25">
        <v>1125905</v>
      </c>
      <c r="F12" s="21" t="s">
        <v>210</v>
      </c>
    </row>
    <row r="13" spans="1:11" x14ac:dyDescent="0.25">
      <c r="A13">
        <v>2914</v>
      </c>
      <c r="B13" t="s">
        <v>65</v>
      </c>
      <c r="C13" s="18">
        <f>10855</f>
        <v>10855</v>
      </c>
      <c r="D13" s="25">
        <v>11</v>
      </c>
      <c r="E13" s="25">
        <v>1046696</v>
      </c>
      <c r="F13" s="21" t="s">
        <v>211</v>
      </c>
    </row>
    <row r="14" spans="1:11" x14ac:dyDescent="0.25">
      <c r="A14">
        <v>2013</v>
      </c>
      <c r="B14" t="s">
        <v>65</v>
      </c>
      <c r="C14" s="18">
        <f>10414</f>
        <v>10414</v>
      </c>
      <c r="D14" s="25">
        <v>1</v>
      </c>
      <c r="E14" s="25">
        <v>1055166</v>
      </c>
      <c r="F14" s="21" t="s">
        <v>212</v>
      </c>
    </row>
    <row r="15" spans="1:11" x14ac:dyDescent="0.25">
      <c r="A15">
        <v>2012</v>
      </c>
      <c r="B15" t="s">
        <v>65</v>
      </c>
      <c r="C15" s="18">
        <f>9789</f>
        <v>9789</v>
      </c>
      <c r="D15" s="25">
        <v>33</v>
      </c>
      <c r="E15" s="25">
        <v>1115915</v>
      </c>
      <c r="F15" s="21" t="s">
        <v>213</v>
      </c>
    </row>
    <row r="16" spans="1:11" x14ac:dyDescent="0.25">
      <c r="A16">
        <v>2011</v>
      </c>
      <c r="B16" t="s">
        <v>65</v>
      </c>
      <c r="C16" s="18">
        <f>9767</f>
        <v>9767</v>
      </c>
      <c r="D16" s="25">
        <v>14</v>
      </c>
      <c r="E16" s="25">
        <v>992441</v>
      </c>
      <c r="F16" s="21" t="s">
        <v>214</v>
      </c>
    </row>
    <row r="17" spans="1:6" x14ac:dyDescent="0.25">
      <c r="A17">
        <v>2010</v>
      </c>
      <c r="B17" t="s">
        <v>65</v>
      </c>
      <c r="C17" s="18">
        <f>9124</f>
        <v>9124</v>
      </c>
      <c r="D17" s="25">
        <v>59</v>
      </c>
      <c r="E17" s="25">
        <v>1029020</v>
      </c>
      <c r="F17" s="21" t="s">
        <v>215</v>
      </c>
    </row>
    <row r="18" spans="1:6" x14ac:dyDescent="0.25">
      <c r="A18">
        <v>2009</v>
      </c>
      <c r="B18" t="s">
        <v>65</v>
      </c>
      <c r="C18" s="18">
        <f>8789</f>
        <v>8789</v>
      </c>
      <c r="D18" s="25">
        <v>4</v>
      </c>
      <c r="E18" s="25">
        <v>999342</v>
      </c>
      <c r="F18" s="21" t="s">
        <v>216</v>
      </c>
    </row>
    <row r="19" spans="1:6" x14ac:dyDescent="0.25">
      <c r="A19">
        <v>2008</v>
      </c>
      <c r="B19" t="s">
        <v>65</v>
      </c>
      <c r="C19" s="18">
        <f>9910</f>
        <v>9910</v>
      </c>
      <c r="D19" s="25">
        <v>6</v>
      </c>
      <c r="E19" s="25">
        <v>954997</v>
      </c>
      <c r="F19" s="21" t="s">
        <v>217</v>
      </c>
    </row>
    <row r="20" spans="1:6" x14ac:dyDescent="0.25">
      <c r="A20">
        <v>2007</v>
      </c>
      <c r="B20" t="s">
        <v>65</v>
      </c>
      <c r="C20" s="18">
        <f>8047</f>
        <v>8047</v>
      </c>
      <c r="D20" s="25">
        <v>1594</v>
      </c>
      <c r="E20" s="25">
        <v>851522</v>
      </c>
      <c r="F20" s="21" t="s">
        <v>218</v>
      </c>
    </row>
    <row r="21" spans="1:6" x14ac:dyDescent="0.25">
      <c r="A21">
        <v>2006</v>
      </c>
      <c r="B21" t="s">
        <v>65</v>
      </c>
      <c r="C21" s="18">
        <f>8955</f>
        <v>8955</v>
      </c>
      <c r="D21" s="18">
        <v>0</v>
      </c>
      <c r="E21" s="25">
        <v>843064</v>
      </c>
      <c r="F21" s="21" t="s">
        <v>219</v>
      </c>
    </row>
    <row r="22" spans="1:6" x14ac:dyDescent="0.25">
      <c r="A22">
        <v>2005</v>
      </c>
      <c r="B22" t="s">
        <v>65</v>
      </c>
      <c r="C22" s="18">
        <f>8613</f>
        <v>8613</v>
      </c>
      <c r="D22" s="18">
        <v>0</v>
      </c>
      <c r="E22" s="25">
        <v>825374</v>
      </c>
      <c r="F22" s="21" t="s">
        <v>220</v>
      </c>
    </row>
    <row r="23" spans="1:6" x14ac:dyDescent="0.25">
      <c r="A23">
        <v>2004</v>
      </c>
      <c r="B23" t="s">
        <v>65</v>
      </c>
      <c r="C23" s="18">
        <f>9369</f>
        <v>9369</v>
      </c>
      <c r="D23" s="18">
        <v>0</v>
      </c>
      <c r="E23" s="25">
        <v>765255</v>
      </c>
      <c r="F23" s="21" t="s">
        <v>221</v>
      </c>
    </row>
    <row r="24" spans="1:6" x14ac:dyDescent="0.25">
      <c r="A24">
        <v>2003</v>
      </c>
      <c r="B24" t="s">
        <v>65</v>
      </c>
      <c r="C24" s="18">
        <f>8107</f>
        <v>8107</v>
      </c>
      <c r="D24" s="18">
        <v>0</v>
      </c>
      <c r="E24" s="25">
        <v>713353</v>
      </c>
      <c r="F24" s="21" t="s">
        <v>222</v>
      </c>
    </row>
    <row r="25" spans="1:6" x14ac:dyDescent="0.25">
      <c r="A25">
        <v>2002</v>
      </c>
      <c r="B25" t="s">
        <v>65</v>
      </c>
      <c r="C25" s="18">
        <f>5886</f>
        <v>5886</v>
      </c>
      <c r="D25" s="18">
        <v>0</v>
      </c>
      <c r="E25" s="25">
        <v>644000</v>
      </c>
      <c r="F25" s="21" t="s">
        <v>223</v>
      </c>
    </row>
    <row r="26" spans="1:6" x14ac:dyDescent="0.25">
      <c r="A26">
        <v>2001</v>
      </c>
      <c r="B26" t="s">
        <v>65</v>
      </c>
      <c r="C26" s="18">
        <f>7875</f>
        <v>7875</v>
      </c>
      <c r="D26" s="18">
        <v>0</v>
      </c>
      <c r="E26" s="25">
        <v>507869</v>
      </c>
      <c r="F26" s="21" t="s">
        <v>224</v>
      </c>
    </row>
    <row r="27" spans="1:6" x14ac:dyDescent="0.25">
      <c r="A27">
        <v>2000</v>
      </c>
      <c r="B27" t="s">
        <v>65</v>
      </c>
      <c r="C27" s="18">
        <f>6897</f>
        <v>6897</v>
      </c>
      <c r="D27" s="18">
        <v>0</v>
      </c>
      <c r="E27" s="25">
        <v>490062</v>
      </c>
      <c r="F27" s="21" t="s">
        <v>225</v>
      </c>
    </row>
    <row r="28" spans="1:6" x14ac:dyDescent="0.25">
      <c r="A28">
        <v>1999</v>
      </c>
      <c r="B28" t="s">
        <v>65</v>
      </c>
      <c r="C28" s="18">
        <f>6647</f>
        <v>6647</v>
      </c>
      <c r="D28" s="18">
        <v>0</v>
      </c>
      <c r="E28" s="25">
        <v>470831</v>
      </c>
      <c r="F28" s="21" t="s">
        <v>226</v>
      </c>
    </row>
    <row r="29" spans="1:6" x14ac:dyDescent="0.25">
      <c r="A29">
        <v>1998</v>
      </c>
      <c r="B29" t="s">
        <v>65</v>
      </c>
      <c r="C29" s="18">
        <f>5850</f>
        <v>5850</v>
      </c>
      <c r="D29" s="18">
        <v>0</v>
      </c>
      <c r="E29" s="25">
        <v>431987</v>
      </c>
      <c r="F29" s="21" t="s">
        <v>227</v>
      </c>
    </row>
    <row r="30" spans="1:6" x14ac:dyDescent="0.25">
      <c r="A30">
        <v>1997</v>
      </c>
      <c r="B30" t="s">
        <v>65</v>
      </c>
      <c r="C30" s="18">
        <f>3632</f>
        <v>3632</v>
      </c>
      <c r="D30" s="18">
        <v>0</v>
      </c>
      <c r="E30" s="25">
        <v>431313</v>
      </c>
      <c r="F30" s="21" t="s">
        <v>228</v>
      </c>
    </row>
    <row r="31" spans="1:6" x14ac:dyDescent="0.25">
      <c r="A31">
        <v>1996</v>
      </c>
      <c r="B31" t="s">
        <v>65</v>
      </c>
      <c r="C31" s="18">
        <f>300</f>
        <v>300</v>
      </c>
      <c r="D31" s="18">
        <v>0</v>
      </c>
      <c r="E31" s="25">
        <v>392438</v>
      </c>
      <c r="F31" s="21" t="s">
        <v>229</v>
      </c>
    </row>
    <row r="32" spans="1:6" x14ac:dyDescent="0.25">
      <c r="A32">
        <v>1995</v>
      </c>
      <c r="B32" t="s">
        <v>65</v>
      </c>
      <c r="C32" s="18">
        <f>219</f>
        <v>219</v>
      </c>
      <c r="D32" s="18">
        <v>0</v>
      </c>
      <c r="E32" s="25">
        <v>288411</v>
      </c>
      <c r="F32" s="21" t="s">
        <v>230</v>
      </c>
    </row>
    <row r="33" spans="1:6" x14ac:dyDescent="0.25">
      <c r="A33">
        <v>1994</v>
      </c>
      <c r="B33" t="s">
        <v>65</v>
      </c>
      <c r="C33" s="18">
        <f>32</f>
        <v>32</v>
      </c>
      <c r="D33" s="18">
        <v>0</v>
      </c>
      <c r="E33" s="25">
        <v>283263</v>
      </c>
      <c r="F33" s="21" t="s">
        <v>231</v>
      </c>
    </row>
    <row r="34" spans="1:6" x14ac:dyDescent="0.25">
      <c r="C34" s="18"/>
      <c r="D34" s="18"/>
      <c r="E34" s="18"/>
    </row>
  </sheetData>
  <phoneticPr fontId="2" type="noConversion"/>
  <hyperlinks>
    <hyperlink ref="F2" r:id="rId1" xr:uid="{E3A624AB-4A2E-8D49-92BB-62203F0FC452}"/>
    <hyperlink ref="F3:F33" r:id="rId2" display="https://www.ssb.no/en/statbank/table/11561" xr:uid="{FD788804-7BCB-0E43-896E-2911944FBBA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CAADE-0D8B-49EB-98B9-5F0AF1B27B0B}">
  <dimension ref="A1:N33"/>
  <sheetViews>
    <sheetView zoomScale="109" workbookViewId="0">
      <selection activeCell="C24" sqref="C24"/>
    </sheetView>
  </sheetViews>
  <sheetFormatPr baseColWidth="10" defaultColWidth="11.42578125" defaultRowHeight="15" x14ac:dyDescent="0.25"/>
  <cols>
    <col min="3" max="3" width="11.42578125" customWidth="1"/>
    <col min="4" max="5" width="12.42578125" customWidth="1"/>
    <col min="6" max="6" width="13.42578125" customWidth="1"/>
    <col min="7" max="7" width="14.42578125" customWidth="1"/>
    <col min="14" max="14" width="32.5703125" customWidth="1"/>
  </cols>
  <sheetData>
    <row r="1" spans="1:14" x14ac:dyDescent="0.25">
      <c r="A1" s="2" t="s">
        <v>62</v>
      </c>
      <c r="B1" s="2" t="s">
        <v>274</v>
      </c>
      <c r="C1" s="2" t="s">
        <v>275</v>
      </c>
      <c r="D1" s="2" t="s">
        <v>276</v>
      </c>
      <c r="E1" s="2" t="s">
        <v>277</v>
      </c>
      <c r="F1" s="2" t="s">
        <v>278</v>
      </c>
      <c r="G1" s="2" t="s">
        <v>279</v>
      </c>
      <c r="H1" s="2" t="s">
        <v>280</v>
      </c>
      <c r="I1" s="2" t="s">
        <v>281</v>
      </c>
      <c r="J1" s="2" t="s">
        <v>282</v>
      </c>
      <c r="K1" s="2" t="s">
        <v>283</v>
      </c>
      <c r="L1" s="2" t="s">
        <v>284</v>
      </c>
      <c r="M1" s="2" t="s">
        <v>285</v>
      </c>
      <c r="N1" s="2"/>
    </row>
    <row r="2" spans="1:14" x14ac:dyDescent="0.25">
      <c r="A2">
        <v>2025</v>
      </c>
      <c r="B2" s="15" t="s">
        <v>238</v>
      </c>
      <c r="C2" s="15" t="s">
        <v>238</v>
      </c>
      <c r="D2" s="15" t="s">
        <v>238</v>
      </c>
      <c r="E2" s="15" t="s">
        <v>238</v>
      </c>
      <c r="F2" s="15" t="s">
        <v>238</v>
      </c>
      <c r="G2" s="15" t="s">
        <v>238</v>
      </c>
      <c r="H2" s="15" t="s">
        <v>238</v>
      </c>
      <c r="I2" s="15" t="s">
        <v>238</v>
      </c>
      <c r="J2" s="15" t="s">
        <v>238</v>
      </c>
      <c r="K2" s="15" t="s">
        <v>238</v>
      </c>
      <c r="L2" s="15" t="s">
        <v>240</v>
      </c>
      <c r="M2" s="15" t="s">
        <v>238</v>
      </c>
    </row>
    <row r="3" spans="1:14" x14ac:dyDescent="0.25">
      <c r="A3">
        <v>2026</v>
      </c>
      <c r="B3" s="15" t="s">
        <v>239</v>
      </c>
      <c r="C3" s="15" t="s">
        <v>238</v>
      </c>
      <c r="D3" s="15" t="s">
        <v>238</v>
      </c>
      <c r="E3" s="15" t="s">
        <v>238</v>
      </c>
      <c r="F3" s="15" t="s">
        <v>238</v>
      </c>
      <c r="G3" s="15" t="s">
        <v>238</v>
      </c>
      <c r="H3" s="15" t="s">
        <v>238</v>
      </c>
      <c r="I3" s="15" t="s">
        <v>238</v>
      </c>
      <c r="J3" s="15" t="s">
        <v>238</v>
      </c>
      <c r="K3" s="15" t="s">
        <v>238</v>
      </c>
      <c r="L3" s="15" t="s">
        <v>240</v>
      </c>
      <c r="M3" s="15" t="s">
        <v>238</v>
      </c>
    </row>
    <row r="4" spans="1:14" x14ac:dyDescent="0.25">
      <c r="A4">
        <v>2027</v>
      </c>
      <c r="B4" s="15" t="s">
        <v>239</v>
      </c>
      <c r="C4" s="15" t="s">
        <v>248</v>
      </c>
      <c r="D4" s="15" t="s">
        <v>238</v>
      </c>
      <c r="E4" s="15" t="s">
        <v>238</v>
      </c>
      <c r="F4" s="15" t="s">
        <v>238</v>
      </c>
      <c r="G4" s="15" t="s">
        <v>238</v>
      </c>
      <c r="H4" s="15">
        <v>0</v>
      </c>
      <c r="I4" s="15" t="s">
        <v>238</v>
      </c>
      <c r="J4" s="15" t="s">
        <v>238</v>
      </c>
      <c r="K4" s="15" t="s">
        <v>238</v>
      </c>
      <c r="L4" s="15" t="s">
        <v>240</v>
      </c>
      <c r="M4" s="15" t="s">
        <v>238</v>
      </c>
    </row>
    <row r="5" spans="1:14" x14ac:dyDescent="0.25">
      <c r="A5">
        <v>2028</v>
      </c>
      <c r="B5" s="15" t="s">
        <v>240</v>
      </c>
      <c r="C5" s="15" t="s">
        <v>248</v>
      </c>
      <c r="D5" s="15" t="s">
        <v>238</v>
      </c>
      <c r="E5" s="15" t="s">
        <v>253</v>
      </c>
      <c r="F5" s="15" t="s">
        <v>238</v>
      </c>
      <c r="G5" s="15" t="s">
        <v>238</v>
      </c>
      <c r="H5" s="15">
        <v>0</v>
      </c>
      <c r="I5" s="15" t="s">
        <v>238</v>
      </c>
      <c r="J5" s="15" t="s">
        <v>238</v>
      </c>
      <c r="K5" s="15" t="s">
        <v>238</v>
      </c>
      <c r="L5" s="15" t="s">
        <v>261</v>
      </c>
      <c r="M5" s="15" t="s">
        <v>267</v>
      </c>
    </row>
    <row r="6" spans="1:14" x14ac:dyDescent="0.25">
      <c r="A6">
        <v>2029</v>
      </c>
      <c r="B6" s="15" t="s">
        <v>241</v>
      </c>
      <c r="C6" s="15" t="s">
        <v>249</v>
      </c>
      <c r="D6" s="15" t="s">
        <v>247</v>
      </c>
      <c r="E6" s="15" t="s">
        <v>253</v>
      </c>
      <c r="F6" s="15" t="s">
        <v>238</v>
      </c>
      <c r="G6" s="15" t="s">
        <v>238</v>
      </c>
      <c r="H6" s="15" t="s">
        <v>253</v>
      </c>
      <c r="I6" s="15" t="s">
        <v>238</v>
      </c>
      <c r="J6" s="15" t="s">
        <v>259</v>
      </c>
      <c r="K6" s="15" t="s">
        <v>238</v>
      </c>
      <c r="L6" s="15" t="s">
        <v>262</v>
      </c>
      <c r="M6" s="15" t="s">
        <v>268</v>
      </c>
    </row>
    <row r="7" spans="1:14" x14ac:dyDescent="0.25">
      <c r="A7">
        <v>2030</v>
      </c>
      <c r="B7" s="15" t="s">
        <v>242</v>
      </c>
      <c r="C7" s="15" t="s">
        <v>250</v>
      </c>
      <c r="D7" s="15" t="s">
        <v>247</v>
      </c>
      <c r="E7" s="15" t="s">
        <v>254</v>
      </c>
      <c r="F7" s="15" t="s">
        <v>238</v>
      </c>
      <c r="G7" s="15" t="s">
        <v>256</v>
      </c>
      <c r="H7" s="15" t="s">
        <v>253</v>
      </c>
      <c r="I7" s="15" t="s">
        <v>258</v>
      </c>
      <c r="J7" s="15" t="s">
        <v>259</v>
      </c>
      <c r="K7" s="15" t="s">
        <v>260</v>
      </c>
      <c r="L7" s="15" t="s">
        <v>263</v>
      </c>
      <c r="M7" s="15" t="s">
        <v>269</v>
      </c>
    </row>
    <row r="8" spans="1:14" x14ac:dyDescent="0.25">
      <c r="A8">
        <v>2031</v>
      </c>
      <c r="B8" s="15" t="s">
        <v>243</v>
      </c>
      <c r="C8" s="15" t="s">
        <v>251</v>
      </c>
      <c r="D8" s="15" t="s">
        <v>247</v>
      </c>
      <c r="E8" s="15" t="s">
        <v>254</v>
      </c>
      <c r="F8" s="15" t="s">
        <v>238</v>
      </c>
      <c r="G8" s="15" t="s">
        <v>256</v>
      </c>
      <c r="H8" s="15" t="s">
        <v>257</v>
      </c>
      <c r="I8" s="15" t="s">
        <v>258</v>
      </c>
      <c r="J8" s="15" t="s">
        <v>259</v>
      </c>
      <c r="K8" s="15" t="s">
        <v>260</v>
      </c>
      <c r="L8" s="15" t="s">
        <v>264</v>
      </c>
      <c r="M8" s="15" t="s">
        <v>270</v>
      </c>
    </row>
    <row r="9" spans="1:14" x14ac:dyDescent="0.25">
      <c r="A9">
        <v>2032</v>
      </c>
      <c r="B9" s="15" t="s">
        <v>244</v>
      </c>
      <c r="C9" s="15" t="s">
        <v>251</v>
      </c>
      <c r="D9" s="15">
        <v>8</v>
      </c>
      <c r="E9" s="15" t="s">
        <v>254</v>
      </c>
      <c r="F9" s="15" t="s">
        <v>247</v>
      </c>
      <c r="G9" s="15" t="s">
        <v>256</v>
      </c>
      <c r="H9" s="15" t="s">
        <v>257</v>
      </c>
      <c r="I9" s="15" t="s">
        <v>258</v>
      </c>
      <c r="J9" s="15" t="s">
        <v>259</v>
      </c>
      <c r="K9" s="15" t="s">
        <v>260</v>
      </c>
      <c r="L9" s="15" t="s">
        <v>265</v>
      </c>
      <c r="M9" s="15" t="s">
        <v>271</v>
      </c>
    </row>
    <row r="10" spans="1:14" x14ac:dyDescent="0.25">
      <c r="A10">
        <v>2033</v>
      </c>
      <c r="B10" s="15" t="s">
        <v>245</v>
      </c>
      <c r="C10" s="15" t="s">
        <v>252</v>
      </c>
      <c r="D10" s="15">
        <v>8</v>
      </c>
      <c r="E10" s="15" t="s">
        <v>254</v>
      </c>
      <c r="F10" s="15" t="s">
        <v>247</v>
      </c>
      <c r="G10" s="15" t="s">
        <v>256</v>
      </c>
      <c r="H10" s="15" t="s">
        <v>257</v>
      </c>
      <c r="I10" s="15" t="s">
        <v>258</v>
      </c>
      <c r="J10" s="15" t="s">
        <v>259</v>
      </c>
      <c r="K10" s="15" t="s">
        <v>260</v>
      </c>
      <c r="L10" s="15" t="s">
        <v>266</v>
      </c>
      <c r="M10" s="15" t="s">
        <v>272</v>
      </c>
    </row>
    <row r="11" spans="1:14" x14ac:dyDescent="0.25">
      <c r="A11">
        <v>2034</v>
      </c>
      <c r="B11" s="15" t="s">
        <v>246</v>
      </c>
      <c r="C11" s="15" t="s">
        <v>252</v>
      </c>
      <c r="D11" s="15">
        <v>16</v>
      </c>
      <c r="E11" s="15" t="s">
        <v>254</v>
      </c>
      <c r="F11" s="15" t="s">
        <v>255</v>
      </c>
      <c r="G11" s="15" t="s">
        <v>256</v>
      </c>
      <c r="H11" s="15" t="s">
        <v>257</v>
      </c>
      <c r="I11" s="15" t="s">
        <v>258</v>
      </c>
      <c r="J11" s="15" t="s">
        <v>259</v>
      </c>
      <c r="K11" s="15" t="s">
        <v>260</v>
      </c>
      <c r="L11" s="15" t="s">
        <v>266</v>
      </c>
      <c r="M11" s="15" t="s">
        <v>273</v>
      </c>
    </row>
    <row r="12" spans="1:14" x14ac:dyDescent="0.25">
      <c r="A12" s="1" t="s">
        <v>286</v>
      </c>
      <c r="B12" s="27" t="s">
        <v>287</v>
      </c>
      <c r="C12" s="27" t="s">
        <v>287</v>
      </c>
      <c r="D12" s="20" t="s">
        <v>287</v>
      </c>
      <c r="E12" s="20" t="s">
        <v>287</v>
      </c>
      <c r="F12" s="27" t="s">
        <v>287</v>
      </c>
      <c r="G12" s="27" t="s">
        <v>287</v>
      </c>
      <c r="H12" s="27" t="s">
        <v>287</v>
      </c>
      <c r="I12" s="27" t="s">
        <v>287</v>
      </c>
      <c r="J12" s="20" t="s">
        <v>287</v>
      </c>
      <c r="K12" s="27" t="s">
        <v>287</v>
      </c>
      <c r="L12" s="27" t="s">
        <v>287</v>
      </c>
      <c r="M12" s="27" t="s">
        <v>287</v>
      </c>
    </row>
    <row r="13" spans="1:14" x14ac:dyDescent="0.25">
      <c r="J13" s="28"/>
    </row>
    <row r="21" spans="1:6" x14ac:dyDescent="0.25">
      <c r="A21" t="s">
        <v>70</v>
      </c>
      <c r="B21">
        <v>8.5000000000000006E-3</v>
      </c>
      <c r="C21" s="15">
        <v>25</v>
      </c>
      <c r="F21" t="s">
        <v>84</v>
      </c>
    </row>
    <row r="22" spans="1:6" x14ac:dyDescent="0.25">
      <c r="A22" t="s">
        <v>65</v>
      </c>
      <c r="C22" s="15" t="s">
        <v>80</v>
      </c>
      <c r="F22" t="s">
        <v>84</v>
      </c>
    </row>
    <row r="23" spans="1:6" x14ac:dyDescent="0.25">
      <c r="C23" s="15" t="s">
        <v>79</v>
      </c>
      <c r="F23" t="s">
        <v>85</v>
      </c>
    </row>
    <row r="31" spans="1:6" x14ac:dyDescent="0.25">
      <c r="A31" t="s">
        <v>81</v>
      </c>
    </row>
    <row r="32" spans="1:6" x14ac:dyDescent="0.25">
      <c r="A32" t="s">
        <v>82</v>
      </c>
    </row>
    <row r="33" spans="1:1" x14ac:dyDescent="0.25">
      <c r="A33" t="s">
        <v>83</v>
      </c>
    </row>
  </sheetData>
  <phoneticPr fontId="2" type="noConversion"/>
  <hyperlinks>
    <hyperlink ref="B12" r:id="rId1" xr:uid="{9E7C12B6-67DE-1E42-834D-D39F46C90EC8}"/>
    <hyperlink ref="C12" r:id="rId2" xr:uid="{685AEC05-2B94-7649-9265-AC4E6DA1472C}"/>
    <hyperlink ref="D12" r:id="rId3" xr:uid="{415C8FE9-1219-8542-B467-64CFD0A0BCDC}"/>
    <hyperlink ref="E12" r:id="rId4" xr:uid="{6A7041CB-2717-B64C-9517-8ADF8CDCECA1}"/>
    <hyperlink ref="F12" r:id="rId5" xr:uid="{11F2F8F0-1280-EE4F-80F5-9CC48F7035FC}"/>
    <hyperlink ref="G12" r:id="rId6" xr:uid="{20A5F29E-254C-3E41-89F1-C1CFFD64A39C}"/>
    <hyperlink ref="H12" r:id="rId7" xr:uid="{E890DF94-A338-5C41-85FF-6EF510CD2614}"/>
    <hyperlink ref="I12" r:id="rId8" xr:uid="{C60AB257-0526-3642-B207-DBD623E838E4}"/>
    <hyperlink ref="J12" r:id="rId9" xr:uid="{700C4CAF-51ED-3945-B800-A44D19B73949}"/>
    <hyperlink ref="K12" r:id="rId10" xr:uid="{BACF7660-3881-0547-9FAE-064598ACE291}"/>
    <hyperlink ref="L12" r:id="rId11" xr:uid="{DBEC4D16-F1A4-6B49-9125-85FE1D57F87A}"/>
    <hyperlink ref="M12" r:id="rId12" xr:uid="{F25FB15C-F7DC-114B-B9CC-F3DD05B07847}"/>
  </hyperlink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467D-831E-A44B-8FE6-495956EEA765}">
  <dimension ref="A1:J46"/>
  <sheetViews>
    <sheetView zoomScale="79" workbookViewId="0">
      <selection activeCell="C13" sqref="C13"/>
    </sheetView>
  </sheetViews>
  <sheetFormatPr baseColWidth="10" defaultColWidth="11.42578125" defaultRowHeight="15" x14ac:dyDescent="0.25"/>
  <cols>
    <col min="2" max="2" width="63.85546875" customWidth="1"/>
    <col min="3" max="4" width="38" customWidth="1"/>
    <col min="5" max="5" width="25.42578125" customWidth="1"/>
    <col min="6" max="6" width="21.42578125" customWidth="1"/>
    <col min="7" max="7" width="24.140625" customWidth="1"/>
    <col min="8" max="8" width="18" customWidth="1"/>
    <col min="9" max="9" width="17.42578125" customWidth="1"/>
    <col min="10" max="10" width="92.85546875" customWidth="1"/>
  </cols>
  <sheetData>
    <row r="1" spans="1:10" x14ac:dyDescent="0.25">
      <c r="A1" s="2" t="s">
        <v>15</v>
      </c>
      <c r="B1" s="2" t="s">
        <v>33</v>
      </c>
      <c r="C1" s="2" t="s">
        <v>339</v>
      </c>
      <c r="D1" s="2" t="s">
        <v>308</v>
      </c>
      <c r="E1" s="2" t="s">
        <v>35</v>
      </c>
      <c r="F1" s="2" t="s">
        <v>38</v>
      </c>
      <c r="G1" s="2" t="s">
        <v>41</v>
      </c>
      <c r="H1" s="2" t="s">
        <v>43</v>
      </c>
      <c r="I1" s="2" t="s">
        <v>45</v>
      </c>
      <c r="J1" s="2" t="s">
        <v>63</v>
      </c>
    </row>
    <row r="2" spans="1:10" x14ac:dyDescent="0.25">
      <c r="A2" t="s">
        <v>65</v>
      </c>
      <c r="B2" s="29" t="s">
        <v>293</v>
      </c>
      <c r="C2" s="29"/>
      <c r="D2" s="29"/>
      <c r="E2" s="15" t="s">
        <v>338</v>
      </c>
      <c r="F2" s="15">
        <v>3</v>
      </c>
      <c r="J2" s="20"/>
    </row>
    <row r="3" spans="1:10" x14ac:dyDescent="0.25">
      <c r="A3" t="s">
        <v>65</v>
      </c>
      <c r="B3" s="29" t="s">
        <v>349</v>
      </c>
      <c r="C3" s="29" t="s">
        <v>142</v>
      </c>
      <c r="D3" s="29" t="s">
        <v>350</v>
      </c>
      <c r="E3" s="15">
        <v>0</v>
      </c>
      <c r="F3" s="15">
        <v>1.5</v>
      </c>
      <c r="J3" s="20"/>
    </row>
    <row r="4" spans="1:10" x14ac:dyDescent="0.25">
      <c r="A4" t="s">
        <v>65</v>
      </c>
      <c r="B4" s="29" t="s">
        <v>351</v>
      </c>
      <c r="C4" s="29" t="s">
        <v>142</v>
      </c>
      <c r="D4" s="29" t="s">
        <v>350</v>
      </c>
      <c r="E4" s="15">
        <f>2028-2026</f>
        <v>2</v>
      </c>
      <c r="F4" s="15">
        <v>3.7</v>
      </c>
      <c r="J4" s="20"/>
    </row>
    <row r="5" spans="1:10" x14ac:dyDescent="0.25">
      <c r="A5" t="s">
        <v>65</v>
      </c>
      <c r="B5" s="29" t="s">
        <v>294</v>
      </c>
      <c r="C5" s="29"/>
      <c r="D5" s="29"/>
      <c r="E5" s="15">
        <f>2028-2026</f>
        <v>2</v>
      </c>
      <c r="F5" s="15">
        <v>8</v>
      </c>
      <c r="J5" s="20"/>
    </row>
    <row r="6" spans="1:10" x14ac:dyDescent="0.25">
      <c r="A6" t="s">
        <v>65</v>
      </c>
      <c r="B6" s="29" t="s">
        <v>295</v>
      </c>
      <c r="C6" s="29" t="s">
        <v>142</v>
      </c>
      <c r="D6" s="29" t="s">
        <v>340</v>
      </c>
      <c r="E6" s="15">
        <f>2034-2026</f>
        <v>8</v>
      </c>
      <c r="F6" s="15">
        <v>5</v>
      </c>
      <c r="J6" s="20"/>
    </row>
    <row r="7" spans="1:10" x14ac:dyDescent="0.25">
      <c r="A7" t="s">
        <v>65</v>
      </c>
      <c r="B7" s="29" t="s">
        <v>296</v>
      </c>
      <c r="C7" s="29" t="s">
        <v>142</v>
      </c>
      <c r="D7" s="29" t="s">
        <v>344</v>
      </c>
      <c r="E7" s="15">
        <f>2029-2026</f>
        <v>3</v>
      </c>
      <c r="F7" s="15">
        <v>10</v>
      </c>
      <c r="J7" s="20"/>
    </row>
    <row r="8" spans="1:10" x14ac:dyDescent="0.25">
      <c r="A8" t="s">
        <v>65</v>
      </c>
      <c r="B8" s="29" t="s">
        <v>297</v>
      </c>
      <c r="C8" s="29" t="s">
        <v>142</v>
      </c>
      <c r="D8" s="29" t="s">
        <v>341</v>
      </c>
      <c r="E8" s="15" t="s">
        <v>338</v>
      </c>
      <c r="F8" s="15">
        <v>4.2750000000000004</v>
      </c>
      <c r="G8" s="15"/>
      <c r="J8" s="20"/>
    </row>
    <row r="9" spans="1:10" x14ac:dyDescent="0.25">
      <c r="A9" t="s">
        <v>65</v>
      </c>
      <c r="B9" s="29" t="s">
        <v>298</v>
      </c>
      <c r="C9" s="29" t="s">
        <v>142</v>
      </c>
      <c r="D9" s="29" t="s">
        <v>342</v>
      </c>
      <c r="E9" s="15" t="s">
        <v>338</v>
      </c>
      <c r="F9" s="15">
        <v>5</v>
      </c>
      <c r="G9" s="15"/>
      <c r="J9" s="20"/>
    </row>
    <row r="10" spans="1:10" x14ac:dyDescent="0.25">
      <c r="A10" t="s">
        <v>65</v>
      </c>
      <c r="B10" s="29" t="s">
        <v>299</v>
      </c>
      <c r="C10" s="29" t="s">
        <v>142</v>
      </c>
      <c r="D10" s="29" t="s">
        <v>347</v>
      </c>
      <c r="E10" s="15">
        <f>2032-2026</f>
        <v>6</v>
      </c>
      <c r="F10" s="15">
        <v>15</v>
      </c>
      <c r="G10" s="15"/>
      <c r="J10" s="20"/>
    </row>
    <row r="11" spans="1:10" x14ac:dyDescent="0.25">
      <c r="A11" t="s">
        <v>65</v>
      </c>
      <c r="B11" s="29" t="s">
        <v>300</v>
      </c>
      <c r="C11" s="29"/>
      <c r="D11" s="29"/>
      <c r="E11" s="15" t="s">
        <v>338</v>
      </c>
      <c r="F11" s="15">
        <v>7.5</v>
      </c>
      <c r="G11" s="15"/>
      <c r="J11" s="20"/>
    </row>
    <row r="12" spans="1:10" x14ac:dyDescent="0.25">
      <c r="A12" t="s">
        <v>65</v>
      </c>
      <c r="B12" s="29" t="s">
        <v>301</v>
      </c>
      <c r="C12" s="29"/>
      <c r="D12" s="29"/>
      <c r="E12" s="15" t="s">
        <v>338</v>
      </c>
      <c r="F12" s="15">
        <v>5</v>
      </c>
      <c r="G12" s="15"/>
      <c r="J12" s="20"/>
    </row>
    <row r="13" spans="1:10" x14ac:dyDescent="0.25">
      <c r="A13" t="s">
        <v>65</v>
      </c>
      <c r="B13" s="29" t="s">
        <v>302</v>
      </c>
      <c r="C13" s="29" t="s">
        <v>142</v>
      </c>
      <c r="D13" s="29" t="s">
        <v>345</v>
      </c>
      <c r="E13" s="15" t="s">
        <v>338</v>
      </c>
      <c r="F13" s="15">
        <v>6</v>
      </c>
      <c r="G13" s="15"/>
      <c r="J13" s="20" t="s">
        <v>346</v>
      </c>
    </row>
    <row r="14" spans="1:10" x14ac:dyDescent="0.25">
      <c r="A14" t="s">
        <v>65</v>
      </c>
      <c r="B14" s="29" t="s">
        <v>303</v>
      </c>
      <c r="C14" s="29"/>
      <c r="D14" s="29"/>
      <c r="E14" s="15" t="s">
        <v>338</v>
      </c>
      <c r="F14" s="15"/>
      <c r="G14" s="15"/>
      <c r="J14" s="20"/>
    </row>
    <row r="15" spans="1:10" x14ac:dyDescent="0.25">
      <c r="A15" t="s">
        <v>65</v>
      </c>
      <c r="B15" s="29" t="s">
        <v>304</v>
      </c>
      <c r="C15" s="29"/>
      <c r="D15" s="29"/>
      <c r="E15" s="15" t="s">
        <v>338</v>
      </c>
      <c r="F15" s="15"/>
      <c r="G15" s="15"/>
      <c r="J15" s="20"/>
    </row>
    <row r="16" spans="1:10" x14ac:dyDescent="0.25">
      <c r="A16" t="s">
        <v>65</v>
      </c>
      <c r="B16" s="29" t="s">
        <v>305</v>
      </c>
      <c r="C16" s="29"/>
      <c r="D16" s="29"/>
      <c r="E16" s="15" t="s">
        <v>338</v>
      </c>
      <c r="F16" s="15"/>
      <c r="G16" s="15"/>
      <c r="J16" s="20"/>
    </row>
    <row r="17" spans="1:10" x14ac:dyDescent="0.25">
      <c r="A17" t="s">
        <v>65</v>
      </c>
      <c r="B17" s="29" t="s">
        <v>306</v>
      </c>
      <c r="C17" s="29"/>
      <c r="D17" s="29"/>
      <c r="E17" s="15" t="s">
        <v>338</v>
      </c>
      <c r="F17" s="15"/>
      <c r="G17" s="15"/>
      <c r="J17" s="20"/>
    </row>
    <row r="18" spans="1:10" x14ac:dyDescent="0.25">
      <c r="A18" t="s">
        <v>70</v>
      </c>
      <c r="B18" s="29" t="s">
        <v>311</v>
      </c>
      <c r="C18" s="29" t="s">
        <v>142</v>
      </c>
      <c r="D18" s="29" t="s">
        <v>343</v>
      </c>
      <c r="E18" s="15"/>
      <c r="F18" s="15"/>
    </row>
    <row r="19" spans="1:10" x14ac:dyDescent="0.25">
      <c r="A19" t="s">
        <v>70</v>
      </c>
      <c r="B19" s="29" t="s">
        <v>312</v>
      </c>
      <c r="C19" s="29" t="s">
        <v>142</v>
      </c>
      <c r="D19" s="29" t="s">
        <v>343</v>
      </c>
      <c r="E19" s="15"/>
      <c r="F19" s="15">
        <v>5</v>
      </c>
    </row>
    <row r="20" spans="1:10" x14ac:dyDescent="0.25">
      <c r="A20" t="s">
        <v>70</v>
      </c>
      <c r="B20" s="29" t="s">
        <v>313</v>
      </c>
      <c r="C20" s="29" t="s">
        <v>307</v>
      </c>
      <c r="D20" s="29" t="s">
        <v>310</v>
      </c>
      <c r="E20" s="15">
        <f>2028-2026</f>
        <v>2</v>
      </c>
      <c r="F20" s="15">
        <v>4.5</v>
      </c>
    </row>
    <row r="21" spans="1:10" x14ac:dyDescent="0.25">
      <c r="A21" t="s">
        <v>70</v>
      </c>
      <c r="B21" s="29" t="s">
        <v>314</v>
      </c>
      <c r="C21" s="29" t="s">
        <v>307</v>
      </c>
      <c r="D21" s="29" t="s">
        <v>310</v>
      </c>
      <c r="E21" s="15">
        <f>2035-2026</f>
        <v>9</v>
      </c>
      <c r="F21" s="15">
        <v>5.5</v>
      </c>
    </row>
    <row r="22" spans="1:10" x14ac:dyDescent="0.25">
      <c r="A22" t="s">
        <v>70</v>
      </c>
      <c r="B22" s="29" t="s">
        <v>315</v>
      </c>
      <c r="C22" s="29" t="s">
        <v>142</v>
      </c>
      <c r="D22" s="29" t="s">
        <v>309</v>
      </c>
      <c r="E22" s="15">
        <f>2028-2026</f>
        <v>2</v>
      </c>
      <c r="F22" s="15">
        <v>4</v>
      </c>
    </row>
    <row r="23" spans="1:10" x14ac:dyDescent="0.25">
      <c r="A23" t="s">
        <v>70</v>
      </c>
      <c r="B23" s="29" t="s">
        <v>316</v>
      </c>
      <c r="C23" s="29"/>
      <c r="D23" s="29"/>
      <c r="E23" s="15">
        <f>2027-2026</f>
        <v>1</v>
      </c>
      <c r="F23" s="15">
        <v>3.6</v>
      </c>
    </row>
    <row r="24" spans="1:10" x14ac:dyDescent="0.25">
      <c r="A24" t="s">
        <v>70</v>
      </c>
      <c r="B24" s="29" t="s">
        <v>317</v>
      </c>
      <c r="C24" s="29"/>
      <c r="D24" s="29"/>
      <c r="E24" s="15">
        <f>2030-2026</f>
        <v>4</v>
      </c>
      <c r="F24" s="15">
        <v>6.4</v>
      </c>
    </row>
    <row r="25" spans="1:10" x14ac:dyDescent="0.25">
      <c r="A25" t="s">
        <v>70</v>
      </c>
      <c r="B25" s="29" t="s">
        <v>318</v>
      </c>
      <c r="C25" s="29" t="s">
        <v>142</v>
      </c>
      <c r="D25" s="29" t="s">
        <v>309</v>
      </c>
      <c r="E25" s="15">
        <f>2032-2026</f>
        <v>6</v>
      </c>
      <c r="F25" s="15">
        <v>6.4</v>
      </c>
    </row>
    <row r="26" spans="1:10" x14ac:dyDescent="0.25">
      <c r="A26" t="s">
        <v>70</v>
      </c>
      <c r="B26" s="29" t="s">
        <v>319</v>
      </c>
      <c r="C26" s="29" t="s">
        <v>142</v>
      </c>
      <c r="D26" s="29" t="s">
        <v>309</v>
      </c>
      <c r="E26" s="15">
        <f>2033-2026</f>
        <v>7</v>
      </c>
      <c r="F26" s="15">
        <v>4</v>
      </c>
    </row>
    <row r="27" spans="1:10" x14ac:dyDescent="0.25">
      <c r="A27" t="s">
        <v>70</v>
      </c>
      <c r="B27" s="29" t="s">
        <v>320</v>
      </c>
      <c r="C27" s="29"/>
      <c r="D27" s="29"/>
      <c r="E27" s="15">
        <f>2030-2026</f>
        <v>4</v>
      </c>
      <c r="F27" s="15">
        <v>2</v>
      </c>
    </row>
    <row r="28" spans="1:10" x14ac:dyDescent="0.25">
      <c r="A28" t="s">
        <v>70</v>
      </c>
      <c r="B28" s="29" t="s">
        <v>321</v>
      </c>
      <c r="C28" s="29"/>
      <c r="D28" s="29"/>
      <c r="E28" s="15">
        <f>2032-2026</f>
        <v>6</v>
      </c>
      <c r="F28" s="15">
        <v>10</v>
      </c>
    </row>
    <row r="29" spans="1:10" x14ac:dyDescent="0.25">
      <c r="A29" t="s">
        <v>70</v>
      </c>
      <c r="B29" s="29" t="s">
        <v>322</v>
      </c>
      <c r="C29" s="29"/>
      <c r="D29" s="29"/>
      <c r="E29" s="15">
        <f>2030-2026</f>
        <v>4</v>
      </c>
      <c r="F29" s="15">
        <v>6</v>
      </c>
    </row>
    <row r="30" spans="1:10" x14ac:dyDescent="0.25">
      <c r="A30" t="s">
        <v>70</v>
      </c>
      <c r="B30" s="29" t="s">
        <v>323</v>
      </c>
      <c r="C30" s="29"/>
      <c r="D30" s="29"/>
      <c r="E30" s="15">
        <f>2035-2026</f>
        <v>9</v>
      </c>
      <c r="F30" s="15">
        <v>3</v>
      </c>
    </row>
    <row r="31" spans="1:10" x14ac:dyDescent="0.25">
      <c r="A31" t="s">
        <v>70</v>
      </c>
      <c r="B31" s="29" t="s">
        <v>324</v>
      </c>
      <c r="C31" s="29"/>
      <c r="D31" s="29"/>
      <c r="E31" s="15">
        <f>2029-2026</f>
        <v>3</v>
      </c>
      <c r="F31" s="15">
        <v>5</v>
      </c>
    </row>
    <row r="32" spans="1:10" x14ac:dyDescent="0.25">
      <c r="A32" t="s">
        <v>70</v>
      </c>
      <c r="B32" s="29" t="s">
        <v>325</v>
      </c>
      <c r="C32" s="29"/>
      <c r="D32" s="29"/>
      <c r="E32" s="15">
        <f>2032-2026</f>
        <v>6</v>
      </c>
      <c r="F32" s="15">
        <v>1.5</v>
      </c>
    </row>
    <row r="33" spans="1:6" x14ac:dyDescent="0.25">
      <c r="A33" t="s">
        <v>70</v>
      </c>
      <c r="B33" s="29" t="s">
        <v>326</v>
      </c>
      <c r="C33" s="29"/>
      <c r="D33" s="29"/>
      <c r="E33" s="15">
        <f>2035-2026</f>
        <v>9</v>
      </c>
      <c r="F33" s="15">
        <v>8.5</v>
      </c>
    </row>
    <row r="34" spans="1:6" x14ac:dyDescent="0.25">
      <c r="A34" t="s">
        <v>70</v>
      </c>
      <c r="B34" s="29" t="s">
        <v>327</v>
      </c>
      <c r="C34" s="29"/>
      <c r="D34" s="29"/>
      <c r="E34" s="15"/>
      <c r="F34" s="15">
        <v>30</v>
      </c>
    </row>
    <row r="35" spans="1:6" x14ac:dyDescent="0.25">
      <c r="A35" t="s">
        <v>70</v>
      </c>
      <c r="B35" s="29" t="s">
        <v>328</v>
      </c>
      <c r="C35" s="29"/>
      <c r="D35" s="29"/>
      <c r="E35" s="15">
        <f>2031-2026</f>
        <v>5</v>
      </c>
      <c r="F35" s="15">
        <v>10</v>
      </c>
    </row>
    <row r="36" spans="1:6" x14ac:dyDescent="0.25">
      <c r="A36" t="s">
        <v>70</v>
      </c>
      <c r="B36" s="29" t="s">
        <v>329</v>
      </c>
      <c r="C36" s="29"/>
      <c r="D36" s="29"/>
      <c r="E36" s="15"/>
      <c r="F36" s="15">
        <v>1</v>
      </c>
    </row>
    <row r="37" spans="1:6" x14ac:dyDescent="0.25">
      <c r="A37" t="s">
        <v>70</v>
      </c>
      <c r="B37" s="29" t="s">
        <v>330</v>
      </c>
      <c r="C37" s="29"/>
      <c r="D37" s="29"/>
      <c r="E37" s="15">
        <f>2030-2026</f>
        <v>4</v>
      </c>
      <c r="F37" s="15">
        <v>5</v>
      </c>
    </row>
    <row r="38" spans="1:6" x14ac:dyDescent="0.25">
      <c r="A38" t="s">
        <v>70</v>
      </c>
      <c r="B38" s="29" t="s">
        <v>331</v>
      </c>
      <c r="C38" s="29"/>
      <c r="D38" s="29"/>
      <c r="E38" s="15">
        <f>2033-2026</f>
        <v>7</v>
      </c>
      <c r="F38" s="15">
        <v>10</v>
      </c>
    </row>
    <row r="39" spans="1:6" x14ac:dyDescent="0.25">
      <c r="A39" t="s">
        <v>70</v>
      </c>
      <c r="B39" s="29" t="s">
        <v>332</v>
      </c>
      <c r="C39" s="29"/>
      <c r="D39" s="29"/>
      <c r="E39" s="15">
        <f>2033-2026</f>
        <v>7</v>
      </c>
      <c r="F39" s="15">
        <v>6</v>
      </c>
    </row>
    <row r="40" spans="1:6" x14ac:dyDescent="0.25">
      <c r="A40" t="s">
        <v>70</v>
      </c>
      <c r="B40" s="29" t="s">
        <v>333</v>
      </c>
      <c r="C40" s="29"/>
      <c r="D40" s="29"/>
      <c r="E40" s="15"/>
      <c r="F40" s="15">
        <v>6</v>
      </c>
    </row>
    <row r="41" spans="1:6" x14ac:dyDescent="0.25">
      <c r="A41" t="s">
        <v>70</v>
      </c>
      <c r="B41" s="29" t="s">
        <v>334</v>
      </c>
      <c r="C41" s="29"/>
      <c r="D41" s="29"/>
      <c r="E41" s="15" t="s">
        <v>338</v>
      </c>
      <c r="F41" s="15" t="s">
        <v>338</v>
      </c>
    </row>
    <row r="42" spans="1:6" x14ac:dyDescent="0.25">
      <c r="A42" t="s">
        <v>70</v>
      </c>
      <c r="B42" s="29" t="s">
        <v>335</v>
      </c>
      <c r="C42" s="29"/>
      <c r="D42" s="29"/>
      <c r="E42" s="15">
        <f>2033-2026</f>
        <v>7</v>
      </c>
      <c r="F42" s="15">
        <v>30</v>
      </c>
    </row>
    <row r="43" spans="1:6" x14ac:dyDescent="0.25">
      <c r="A43" t="s">
        <v>70</v>
      </c>
      <c r="B43" s="29" t="s">
        <v>336</v>
      </c>
      <c r="C43" s="29"/>
      <c r="D43" s="29"/>
      <c r="E43" s="15">
        <f>2038-2026</f>
        <v>12</v>
      </c>
      <c r="F43" s="15">
        <v>3</v>
      </c>
    </row>
    <row r="44" spans="1:6" x14ac:dyDescent="0.25">
      <c r="A44" t="s">
        <v>70</v>
      </c>
      <c r="B44" s="29" t="s">
        <v>337</v>
      </c>
      <c r="C44" s="29"/>
      <c r="D44" s="29"/>
      <c r="E44" s="15">
        <f>2040-2026</f>
        <v>14</v>
      </c>
      <c r="F44" s="15">
        <v>3</v>
      </c>
    </row>
    <row r="45" spans="1:6" x14ac:dyDescent="0.25">
      <c r="B45" s="29"/>
      <c r="C45" s="29"/>
      <c r="D45" s="29"/>
      <c r="E45" s="15"/>
      <c r="F45" s="15">
        <v>5</v>
      </c>
    </row>
    <row r="46" spans="1:6" x14ac:dyDescent="0.25">
      <c r="B46" s="15"/>
      <c r="C46" s="15"/>
      <c r="D46" s="15"/>
      <c r="E46" s="15"/>
      <c r="F46" s="15"/>
    </row>
  </sheetData>
  <hyperlinks>
    <hyperlink ref="J13" r:id="rId1" xr:uid="{1395B193-F19F-684E-A8A6-31FF2B001BDF}"/>
  </hyperlink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CE3E-ADD4-7E4A-8B46-19C5A65BF1C9}">
  <dimension ref="A1:H22"/>
  <sheetViews>
    <sheetView zoomScale="116" workbookViewId="0">
      <selection activeCell="D9" sqref="D9"/>
    </sheetView>
  </sheetViews>
  <sheetFormatPr baseColWidth="10" defaultColWidth="11.42578125" defaultRowHeight="15" x14ac:dyDescent="0.25"/>
  <cols>
    <col min="2" max="2" width="38" customWidth="1"/>
    <col min="3" max="3" width="25.42578125" customWidth="1"/>
    <col min="4" max="4" width="21.42578125" customWidth="1"/>
    <col min="5" max="5" width="24.140625" customWidth="1"/>
    <col min="6" max="6" width="18" customWidth="1"/>
    <col min="7" max="7" width="17.42578125" customWidth="1"/>
    <col min="8" max="8" width="92.85546875" customWidth="1"/>
  </cols>
  <sheetData>
    <row r="1" spans="1:8" x14ac:dyDescent="0.25">
      <c r="A1" s="2" t="s">
        <v>15</v>
      </c>
      <c r="B1" s="2" t="s">
        <v>33</v>
      </c>
      <c r="C1" s="2" t="s">
        <v>35</v>
      </c>
      <c r="D1" s="2" t="s">
        <v>38</v>
      </c>
      <c r="E1" s="2" t="s">
        <v>41</v>
      </c>
      <c r="F1" s="2" t="s">
        <v>43</v>
      </c>
      <c r="G1" s="2" t="s">
        <v>45</v>
      </c>
      <c r="H1" s="2" t="s">
        <v>63</v>
      </c>
    </row>
    <row r="2" spans="1:8" x14ac:dyDescent="0.25">
      <c r="A2" t="s">
        <v>65</v>
      </c>
      <c r="B2" t="s">
        <v>98</v>
      </c>
      <c r="E2">
        <v>15.77</v>
      </c>
      <c r="H2" s="21" t="s">
        <v>112</v>
      </c>
    </row>
    <row r="3" spans="1:8" x14ac:dyDescent="0.25">
      <c r="A3" t="s">
        <v>65</v>
      </c>
      <c r="B3" t="s">
        <v>99</v>
      </c>
      <c r="E3">
        <v>13.6</v>
      </c>
      <c r="H3" s="21" t="s">
        <v>112</v>
      </c>
    </row>
    <row r="4" spans="1:8" x14ac:dyDescent="0.25">
      <c r="A4" t="s">
        <v>65</v>
      </c>
      <c r="B4" t="s">
        <v>91</v>
      </c>
      <c r="E4">
        <v>4.09</v>
      </c>
      <c r="H4" s="21" t="s">
        <v>112</v>
      </c>
    </row>
    <row r="5" spans="1:8" x14ac:dyDescent="0.25">
      <c r="A5" t="s">
        <v>65</v>
      </c>
      <c r="B5" t="s">
        <v>92</v>
      </c>
      <c r="E5">
        <v>3.59</v>
      </c>
      <c r="H5" s="21" t="s">
        <v>112</v>
      </c>
    </row>
    <row r="6" spans="1:8" x14ac:dyDescent="0.25">
      <c r="A6" t="s">
        <v>65</v>
      </c>
      <c r="B6" t="s">
        <v>100</v>
      </c>
      <c r="E6">
        <v>2.85</v>
      </c>
      <c r="H6" s="21" t="s">
        <v>112</v>
      </c>
    </row>
    <row r="7" spans="1:8" x14ac:dyDescent="0.25">
      <c r="A7" t="s">
        <v>65</v>
      </c>
      <c r="B7" t="s">
        <v>101</v>
      </c>
      <c r="E7">
        <v>2.2999999999999998</v>
      </c>
      <c r="H7" s="21" t="s">
        <v>112</v>
      </c>
    </row>
    <row r="8" spans="1:8" x14ac:dyDescent="0.25">
      <c r="A8" t="s">
        <v>65</v>
      </c>
      <c r="B8" t="s">
        <v>93</v>
      </c>
      <c r="E8" s="15">
        <v>1.78</v>
      </c>
      <c r="H8" s="21" t="s">
        <v>112</v>
      </c>
    </row>
    <row r="9" spans="1:8" x14ac:dyDescent="0.25">
      <c r="A9" t="s">
        <v>65</v>
      </c>
      <c r="B9" t="s">
        <v>94</v>
      </c>
      <c r="E9" s="15">
        <v>0.95</v>
      </c>
      <c r="H9" s="21" t="s">
        <v>112</v>
      </c>
    </row>
    <row r="10" spans="1:8" x14ac:dyDescent="0.25">
      <c r="A10" t="s">
        <v>65</v>
      </c>
      <c r="B10" t="s">
        <v>95</v>
      </c>
      <c r="E10" s="15">
        <v>0.4</v>
      </c>
      <c r="H10" s="20" t="s">
        <v>112</v>
      </c>
    </row>
    <row r="11" spans="1:8" x14ac:dyDescent="0.25">
      <c r="A11" t="s">
        <v>65</v>
      </c>
      <c r="B11" t="s">
        <v>96</v>
      </c>
      <c r="E11" s="15">
        <v>4</v>
      </c>
      <c r="H11" s="20" t="s">
        <v>112</v>
      </c>
    </row>
    <row r="12" spans="1:8" x14ac:dyDescent="0.25">
      <c r="A12" t="s">
        <v>65</v>
      </c>
      <c r="B12" t="s">
        <v>102</v>
      </c>
      <c r="E12" s="15">
        <v>4.8</v>
      </c>
      <c r="H12" s="20" t="s">
        <v>112</v>
      </c>
    </row>
    <row r="13" spans="1:8" x14ac:dyDescent="0.25">
      <c r="A13" t="s">
        <v>65</v>
      </c>
      <c r="B13" t="s">
        <v>103</v>
      </c>
      <c r="E13" s="15">
        <v>2.5</v>
      </c>
      <c r="H13" s="20" t="s">
        <v>112</v>
      </c>
    </row>
    <row r="14" spans="1:8" x14ac:dyDescent="0.25">
      <c r="A14" t="s">
        <v>65</v>
      </c>
      <c r="B14" t="s">
        <v>104</v>
      </c>
      <c r="E14" s="15">
        <v>0.44</v>
      </c>
      <c r="H14" s="20" t="s">
        <v>112</v>
      </c>
    </row>
    <row r="15" spans="1:8" x14ac:dyDescent="0.25">
      <c r="A15" t="s">
        <v>65</v>
      </c>
      <c r="B15" t="s">
        <v>105</v>
      </c>
      <c r="E15" s="15">
        <v>0.17</v>
      </c>
      <c r="H15" s="21" t="s">
        <v>112</v>
      </c>
    </row>
    <row r="16" spans="1:8" x14ac:dyDescent="0.25">
      <c r="A16" t="s">
        <v>65</v>
      </c>
      <c r="B16" t="s">
        <v>106</v>
      </c>
      <c r="E16" s="15">
        <v>0.52</v>
      </c>
      <c r="H16" s="20" t="s">
        <v>112</v>
      </c>
    </row>
    <row r="17" spans="1:8" x14ac:dyDescent="0.25">
      <c r="A17" t="s">
        <v>65</v>
      </c>
      <c r="B17" t="s">
        <v>107</v>
      </c>
      <c r="E17" s="15">
        <v>3</v>
      </c>
      <c r="H17" s="20" t="s">
        <v>112</v>
      </c>
    </row>
    <row r="18" spans="1:8" x14ac:dyDescent="0.25">
      <c r="A18" t="s">
        <v>65</v>
      </c>
      <c r="B18" t="s">
        <v>111</v>
      </c>
      <c r="E18" s="15">
        <v>10</v>
      </c>
      <c r="H18" s="20" t="s">
        <v>112</v>
      </c>
    </row>
    <row r="19" spans="1:8" x14ac:dyDescent="0.25">
      <c r="A19" t="s">
        <v>65</v>
      </c>
      <c r="B19" t="s">
        <v>110</v>
      </c>
      <c r="E19" s="15">
        <v>14</v>
      </c>
      <c r="H19" s="20" t="s">
        <v>112</v>
      </c>
    </row>
    <row r="20" spans="1:8" x14ac:dyDescent="0.25">
      <c r="A20" t="s">
        <v>65</v>
      </c>
      <c r="B20" t="s">
        <v>108</v>
      </c>
      <c r="E20" s="15">
        <v>1.1000000000000001</v>
      </c>
      <c r="H20" s="20" t="s">
        <v>112</v>
      </c>
    </row>
    <row r="21" spans="1:8" x14ac:dyDescent="0.25">
      <c r="A21" t="s">
        <v>65</v>
      </c>
      <c r="B21" t="s">
        <v>109</v>
      </c>
      <c r="E21" s="15">
        <v>0.2</v>
      </c>
      <c r="H21" s="20" t="s">
        <v>112</v>
      </c>
    </row>
    <row r="22" spans="1:8" x14ac:dyDescent="0.25">
      <c r="H22" s="20" t="s">
        <v>112</v>
      </c>
    </row>
  </sheetData>
  <hyperlinks>
    <hyperlink ref="H2" r:id="rId1" xr:uid="{78C3E81A-9C94-2D47-88BE-C88EF7970593}"/>
    <hyperlink ref="H3" r:id="rId2" xr:uid="{5968B361-A337-6C4A-B882-DFC4E5AB4CC8}"/>
    <hyperlink ref="H4" r:id="rId3" xr:uid="{C0ED05F0-E386-2946-B611-996B4A17F950}"/>
    <hyperlink ref="H5" r:id="rId4" xr:uid="{C98E4339-1BBD-064A-BE1C-DBC899A4E21F}"/>
    <hyperlink ref="H6" r:id="rId5" xr:uid="{C21F55E7-53E2-2540-BD89-8DE1AD4E05B0}"/>
    <hyperlink ref="H7" r:id="rId6" xr:uid="{C91CA334-3504-F342-8ABE-E20FB9D345A4}"/>
    <hyperlink ref="H8" r:id="rId7" xr:uid="{99D07FEF-0F9C-6C4B-8854-A3BC837E343E}"/>
    <hyperlink ref="H9" r:id="rId8" xr:uid="{D9E81267-E27E-9448-9CF6-CBF78696F279}"/>
    <hyperlink ref="H10" r:id="rId9" xr:uid="{F81FAAE3-8223-A646-B2E5-35743FE327A0}"/>
    <hyperlink ref="H11" r:id="rId10" xr:uid="{3C4235B3-7B0E-AA4A-8BDE-B4A796211CC0}"/>
    <hyperlink ref="H12" r:id="rId11" xr:uid="{19F1CCCB-FCAB-A346-A98F-9BC0151A5EC8}"/>
    <hyperlink ref="H13" r:id="rId12" xr:uid="{DFE9A4BA-123F-E840-AC7B-7906F4775015}"/>
    <hyperlink ref="H14" r:id="rId13" xr:uid="{1E44DBFB-8AAC-CD46-B6D0-6FFDD973E840}"/>
    <hyperlink ref="H15" r:id="rId14" xr:uid="{DF953626-7820-FC45-876A-572881949CAE}"/>
    <hyperlink ref="H16" r:id="rId15" xr:uid="{658781CE-64CC-474A-8C70-AD4A56C941FF}"/>
    <hyperlink ref="H17" r:id="rId16" xr:uid="{8D8FCF1D-48CA-2F42-8864-72E8776EEF73}"/>
    <hyperlink ref="H18" r:id="rId17" xr:uid="{0ABBAFEB-60D5-2A47-83EC-5F69F2696C3A}"/>
    <hyperlink ref="H19" r:id="rId18" xr:uid="{F496B0DA-E31A-EA4A-A7C2-CFA0DB5795D8}"/>
    <hyperlink ref="H20" r:id="rId19" xr:uid="{29F2FDB8-15C5-0E47-9482-2A65F6D51782}"/>
    <hyperlink ref="H21" r:id="rId20" xr:uid="{9B5379F5-85CC-B144-8A51-CB53DC3D4C3B}"/>
    <hyperlink ref="H22" r:id="rId21" xr:uid="{18AA45B0-9806-E94B-BEFE-00692854F201}"/>
  </hyperlink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1C9E9-9570-534D-A7B2-7B765CDC3A6B}">
  <dimension ref="A1:G21"/>
  <sheetViews>
    <sheetView workbookViewId="0">
      <selection activeCell="E7" sqref="E7"/>
    </sheetView>
  </sheetViews>
  <sheetFormatPr baseColWidth="10" defaultColWidth="11.42578125" defaultRowHeight="15" x14ac:dyDescent="0.25"/>
  <sheetData>
    <row r="1" spans="1:7" x14ac:dyDescent="0.25">
      <c r="A1" s="2" t="s">
        <v>15</v>
      </c>
      <c r="B1" s="2" t="s">
        <v>348</v>
      </c>
      <c r="C1" s="2" t="s">
        <v>237</v>
      </c>
      <c r="D1" s="2" t="s">
        <v>177</v>
      </c>
      <c r="E1" s="2" t="s">
        <v>18</v>
      </c>
      <c r="F1" s="2" t="s">
        <v>78</v>
      </c>
      <c r="G1" s="2" t="s">
        <v>54</v>
      </c>
    </row>
    <row r="2" spans="1:7" x14ac:dyDescent="0.25">
      <c r="A2" t="s">
        <v>113</v>
      </c>
    </row>
    <row r="3" spans="1:7" x14ac:dyDescent="0.25">
      <c r="A3" t="s">
        <v>113</v>
      </c>
    </row>
    <row r="4" spans="1:7" x14ac:dyDescent="0.25">
      <c r="A4" t="s">
        <v>113</v>
      </c>
    </row>
    <row r="5" spans="1:7" x14ac:dyDescent="0.25">
      <c r="A5" t="s">
        <v>113</v>
      </c>
    </row>
    <row r="6" spans="1:7" x14ac:dyDescent="0.25">
      <c r="A6" t="s">
        <v>113</v>
      </c>
    </row>
    <row r="7" spans="1:7" x14ac:dyDescent="0.25">
      <c r="A7" t="s">
        <v>113</v>
      </c>
    </row>
    <row r="8" spans="1:7" x14ac:dyDescent="0.25">
      <c r="A8" t="s">
        <v>113</v>
      </c>
    </row>
    <row r="9" spans="1:7" x14ac:dyDescent="0.25">
      <c r="A9" t="s">
        <v>113</v>
      </c>
    </row>
    <row r="10" spans="1:7" x14ac:dyDescent="0.25">
      <c r="A10" t="s">
        <v>113</v>
      </c>
    </row>
    <row r="11" spans="1:7" x14ac:dyDescent="0.25">
      <c r="A11" t="s">
        <v>113</v>
      </c>
    </row>
    <row r="12" spans="1:7" x14ac:dyDescent="0.25">
      <c r="A12" t="s">
        <v>113</v>
      </c>
    </row>
    <row r="13" spans="1:7" x14ac:dyDescent="0.25">
      <c r="A13" t="s">
        <v>113</v>
      </c>
    </row>
    <row r="14" spans="1:7" x14ac:dyDescent="0.25">
      <c r="A14" t="s">
        <v>113</v>
      </c>
    </row>
    <row r="15" spans="1:7" x14ac:dyDescent="0.25">
      <c r="A15" t="s">
        <v>113</v>
      </c>
    </row>
    <row r="16" spans="1:7" x14ac:dyDescent="0.25">
      <c r="A16" t="s">
        <v>113</v>
      </c>
    </row>
    <row r="17" spans="1:1" x14ac:dyDescent="0.25">
      <c r="A17" t="s">
        <v>113</v>
      </c>
    </row>
    <row r="18" spans="1:1" x14ac:dyDescent="0.25">
      <c r="A18" t="s">
        <v>113</v>
      </c>
    </row>
    <row r="19" spans="1:1" x14ac:dyDescent="0.25">
      <c r="A19" t="s">
        <v>113</v>
      </c>
    </row>
    <row r="20" spans="1:1" x14ac:dyDescent="0.25">
      <c r="A20" t="s">
        <v>113</v>
      </c>
    </row>
    <row r="21" spans="1:1" x14ac:dyDescent="0.25">
      <c r="A21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F4B3-59AF-E843-904E-2FEDA37C64C2}">
  <dimension ref="A1:E8"/>
  <sheetViews>
    <sheetView workbookViewId="0">
      <selection activeCell="B2" sqref="B2"/>
    </sheetView>
  </sheetViews>
  <sheetFormatPr baseColWidth="10" defaultColWidth="10.85546875" defaultRowHeight="15" x14ac:dyDescent="0.25"/>
  <sheetData>
    <row r="1" spans="1:5" x14ac:dyDescent="0.25">
      <c r="A1" s="26" t="s">
        <v>15</v>
      </c>
      <c r="B1" s="26" t="s">
        <v>177</v>
      </c>
      <c r="C1" s="26" t="s">
        <v>18</v>
      </c>
      <c r="D1" s="26" t="s">
        <v>78</v>
      </c>
      <c r="E1" s="26" t="s">
        <v>56</v>
      </c>
    </row>
    <row r="2" spans="1:5" x14ac:dyDescent="0.25">
      <c r="A2" s="22" t="s">
        <v>65</v>
      </c>
      <c r="B2" s="22"/>
      <c r="C2" s="22"/>
      <c r="D2" s="22"/>
      <c r="E2" s="22"/>
    </row>
    <row r="3" spans="1:5" x14ac:dyDescent="0.25">
      <c r="A3" s="22" t="s">
        <v>65</v>
      </c>
      <c r="B3" s="22"/>
      <c r="C3" s="22"/>
      <c r="D3" s="22"/>
      <c r="E3" s="22"/>
    </row>
    <row r="4" spans="1:5" x14ac:dyDescent="0.25">
      <c r="A4" s="22" t="s">
        <v>70</v>
      </c>
      <c r="B4" s="22"/>
      <c r="C4" s="22"/>
      <c r="D4" s="22"/>
      <c r="E4" s="22"/>
    </row>
    <row r="5" spans="1:5" x14ac:dyDescent="0.25">
      <c r="A5" s="22" t="s">
        <v>70</v>
      </c>
      <c r="B5" s="22"/>
      <c r="C5" s="22"/>
      <c r="D5" s="22"/>
      <c r="E5" s="22"/>
    </row>
    <row r="6" spans="1:5" x14ac:dyDescent="0.25">
      <c r="A6" s="22" t="s">
        <v>113</v>
      </c>
      <c r="B6" s="22"/>
      <c r="C6" s="22"/>
      <c r="D6" s="22"/>
      <c r="E6" s="22"/>
    </row>
    <row r="7" spans="1:5" x14ac:dyDescent="0.25">
      <c r="A7" s="22" t="s">
        <v>113</v>
      </c>
      <c r="B7" s="22"/>
      <c r="C7" s="22"/>
      <c r="D7" s="22"/>
      <c r="E7" s="22"/>
    </row>
    <row r="8" spans="1:5" x14ac:dyDescent="0.25">
      <c r="A8" s="22"/>
      <c r="B8" s="22"/>
      <c r="C8" s="22"/>
      <c r="D8" s="22"/>
      <c r="E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F720F583EF24096CE9C37C1B4755C" ma:contentTypeVersion="13" ma:contentTypeDescription="Create a new document." ma:contentTypeScope="" ma:versionID="1b35431fb71ef33216a6bb5db7c4d5f0">
  <xsd:schema xmlns:xsd="http://www.w3.org/2001/XMLSchema" xmlns:xs="http://www.w3.org/2001/XMLSchema" xmlns:p="http://schemas.microsoft.com/office/2006/metadata/properties" xmlns:ns2="9c1d9d46-86de-41f6-9bbb-4ca255b4a392" xmlns:ns3="4e16a8f2-e56e-473e-a5c2-459e082d91db" targetNamespace="http://schemas.microsoft.com/office/2006/metadata/properties" ma:root="true" ma:fieldsID="d644c52d39c6f6874a2daa7113e5142d" ns2:_="" ns3:_="">
    <xsd:import namespace="9c1d9d46-86de-41f6-9bbb-4ca255b4a392"/>
    <xsd:import namespace="4e16a8f2-e56e-473e-a5c2-459e082d91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d9d46-86de-41f6-9bbb-4ca255b4a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2085f55-5019-442d-9b26-f3f1ccfa8f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6a8f2-e56e-473e-a5c2-459e082d91d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ecda3d-2294-4133-bb21-28556e7e39bd}" ma:internalName="TaxCatchAll" ma:showField="CatchAllData" ma:web="4e16a8f2-e56e-473e-a5c2-459e082d91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16a8f2-e56e-473e-a5c2-459e082d91db" xsi:nil="true"/>
    <lcf76f155ced4ddcb4097134ff3c332f xmlns="9c1d9d46-86de-41f6-9bbb-4ca255b4a3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357985-A757-4A99-90CF-9BC2BA57A1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1CB4CE-9C14-4047-A97C-E7ABC8467B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1d9d46-86de-41f6-9bbb-4ca255b4a392"/>
    <ds:schemaRef ds:uri="4e16a8f2-e56e-473e-a5c2-459e082d91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36BFA11-6BD8-4B1D-8AE4-CB98FD89CBFE}">
  <ds:schemaRefs>
    <ds:schemaRef ds:uri="http://purl.org/dc/terms/"/>
    <ds:schemaRef ds:uri="4e16a8f2-e56e-473e-a5c2-459e082d91db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9c1d9d46-86de-41f6-9bbb-4ca255b4a392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Cover</vt:lpstr>
      <vt:lpstr>TimeSeries</vt:lpstr>
      <vt:lpstr>NG_use_by_sector </vt:lpstr>
      <vt:lpstr>economic_psc</vt:lpstr>
      <vt:lpstr>economic_storage</vt:lpstr>
      <vt:lpstr>carbon_transport</vt:lpstr>
      <vt:lpstr>tech_expansion_init_cap</vt:lpstr>
      <vt:lpstr>Annex - Papers to have a look a</vt:lpstr>
      <vt:lpstr>NG_flows</vt:lpstr>
      <vt:lpstr>NG_exports, imports,consumption</vt:lpstr>
      <vt:lpstr>Sinks_country</vt:lpstr>
      <vt:lpstr>Sinks_blocks_op, con, planned</vt:lpstr>
      <vt:lpstr>Sinks_blocks</vt:lpstr>
      <vt:lpstr>tech_expansion - max_abs</vt:lpstr>
      <vt:lpstr>tech_expansion - rel_inc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Oitzinger, Maximilian</dc:creator>
  <cp:keywords/>
  <dc:description/>
  <cp:lastModifiedBy>Max Oitzinger</cp:lastModifiedBy>
  <cp:revision/>
  <dcterms:created xsi:type="dcterms:W3CDTF">2026-08-12T12:21:06Z</dcterms:created>
  <dcterms:modified xsi:type="dcterms:W3CDTF">2026-09-08T12:56:12Z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0x010100E13F720F583EF24096CE9C37C1B4755C</vt:lpwstr>
  </property>
  <property fmtid="{D5CDD505-2E9C-101B-9397-08002B2CF9AE}" pid="3" name="MediaServiceImageTags">
    <vt:lpwstr/>
  </property>
</Properties>
</file>