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11d695511771a1/Desktop/Repositories/scm_model/"/>
    </mc:Choice>
  </mc:AlternateContent>
  <xr:revisionPtr revIDLastSave="599" documentId="8_{69118542-9163-4E18-BF71-86AAA6BFC266}" xr6:coauthVersionLast="47" xr6:coauthVersionMax="47" xr10:uidLastSave="{7FA5C165-ABC6-4551-971D-EF91E34A1543}"/>
  <bookViews>
    <workbookView xWindow="-120" yWindow="-120" windowWidth="29040" windowHeight="17520" activeTab="4" xr2:uid="{D3628906-A666-41FC-B4DD-112A108B04C0}"/>
  </bookViews>
  <sheets>
    <sheet name="timeseries" sheetId="1" r:id="rId1"/>
    <sheet name="sink_blocks" sheetId="2" r:id="rId2"/>
    <sheet name="economic_cc_tech" sheetId="3" r:id="rId3"/>
    <sheet name="cc_tech" sheetId="8" r:id="rId4"/>
    <sheet name="cc_commited_cap" sheetId="9" r:id="rId5"/>
    <sheet name="ng_flows" sheetId="4" r:id="rId6"/>
    <sheet name="distances" sheetId="6" r:id="rId7"/>
    <sheet name="economic_transport" sheetId="7" r:id="rId8"/>
  </sheets>
  <definedNames>
    <definedName name="_xlnm._FilterDatabase" localSheetId="5" hidden="1">ng_flows!$D$1:$D$217</definedName>
    <definedName name="_xlnm._FilterDatabase" localSheetId="1" hidden="1">sink_blocks!$C$1:$C$60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" i="1" l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E29" i="2"/>
  <c r="E28" i="2"/>
  <c r="E27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10" i="2"/>
  <c r="E8" i="2"/>
  <c r="E7" i="2"/>
  <c r="E6" i="2"/>
  <c r="E5" i="2"/>
  <c r="E4" i="2"/>
  <c r="E2" i="2"/>
  <c r="E54" i="2" l="1"/>
  <c r="E52" i="2"/>
  <c r="E51" i="2"/>
  <c r="E50" i="2"/>
  <c r="E49" i="2"/>
  <c r="E48" i="2"/>
  <c r="E47" i="2"/>
  <c r="E46" i="2"/>
  <c r="E45" i="2"/>
  <c r="E44" i="2"/>
  <c r="E60" i="2"/>
  <c r="E59" i="2"/>
  <c r="E43" i="2"/>
  <c r="E42" i="2"/>
  <c r="E57" i="2"/>
  <c r="E56" i="2"/>
  <c r="E55" i="2"/>
  <c r="E41" i="2"/>
  <c r="E40" i="2"/>
  <c r="E39" i="2"/>
  <c r="E37" i="2"/>
  <c r="E36" i="2"/>
  <c r="E35" i="2"/>
  <c r="E34" i="2"/>
  <c r="E32" i="2"/>
  <c r="E31" i="2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tc={E456C0E3-8611-4020-A73B-239459A15434}</author>
    <author>tc={7D83D906-E769-44E0-A657-E4AC1A627004}</author>
    <author>tc={FA0CF711-F54F-4DB5-94CC-5367CB4526DD}</author>
    <author>tc={3DBD778A-6B82-460E-B17F-C2256EDC3DF0}</author>
    <author>tc={3064E4AF-B2E8-4B60-9B17-66D9629C3FAD}</author>
    <author>tc={5048F8DB-3A80-473E-A1DF-32B695432271}</author>
    <author>tc={52F0BE87-451A-4127-ABAD-10F09B6A3CE8}</author>
    <author>tc={96353A31-70BB-44E4-B9D1-152889BC194C}</author>
    <author>tc={D346C95E-C1F0-4386-9906-4F319A86B1B4}</author>
    <author>tc={441CC3D6-10F2-4CAF-8D05-73490F850599}</author>
  </authors>
  <commentList>
    <comment ref="D1" authorId="0" shapeId="0" xr:uid="{E456C0E3-8611-4020-A73B-239459A154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think it would be smart to have three ETS scenarios low-middle-high</t>
      </text>
    </comment>
    <comment ref="F1" authorId="1" shapeId="0" xr:uid="{7D83D906-E769-44E0-A657-E4AC1A627004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These are guess-estimates based on Gunter et al 2026. </t>
      </text>
    </comment>
    <comment ref="H1" authorId="2" shapeId="0" xr:uid="{FA0CF711-F54F-4DB5-94CC-5367CB4526D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Assuming zero capture rate.</t>
      </text>
    </comment>
    <comment ref="D2" authorId="3" shapeId="0" xr:uid="{3DBD778A-6B82-460E-B17F-C2256EDC3DF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Same starting point with the average value for 2026. </t>
      </text>
    </comment>
    <comment ref="D14" authorId="4" shapeId="0" xr:uid="{3064E4AF-B2E8-4B60-9B17-66D9629C3FA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From 2038, this data is projected by authors. </t>
      </text>
    </comment>
    <comment ref="D26" authorId="5" shapeId="0" xr:uid="{5048F8DB-3A80-473E-A1DF-32B695432271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We assumed an end-point for ETS here to get to above 300 EUR </t>
      </text>
    </comment>
    <comment ref="B27" authorId="6" shapeId="0" xr:uid="{52F0BE87-451A-4127-ABAD-10F09B6A3CE8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Stuart's upcoming paper?
Antwort:
    Right now, I have just assumed a starting point of 1% with a quadratic reaching 100% by 2050. 
f(t) = 1+a*t^2, with t=0 in 2026 and t=24 in 2050. Coefficient of a=0,1719. </t>
      </text>
    </comment>
    <comment ref="G27" authorId="7" shapeId="0" xr:uid="{96353A31-70BB-44E4-B9D1-152889BC194C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Assuming zero capture rate. No reference needed. </t>
      </text>
    </comment>
    <comment ref="H27" authorId="8" shapeId="0" xr:uid="{D346C95E-C1F0-4386-9906-4F319A86B1B4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Assuming zero capture rate. No reference needed. </t>
      </text>
    </comment>
    <comment ref="I27" authorId="9" shapeId="0" xr:uid="{441CC3D6-10F2-4CAF-8D05-73490F85059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gross gas capacities installed of which power plants equipped with CCS, presented as %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tc={3905F842-2EE3-441F-9189-B7519F862880}</author>
  </authors>
  <commentList>
    <comment ref="B1" authorId="0" shapeId="0" xr:uid="{3905F842-2EE3-441F-9189-B7519F86288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Deleted licenses that are in exploration, seismic testing and modelling.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tc={CD981B78-0EA1-4FD1-82E6-1033443EFABD}</author>
    <author>tc={D9B62DA7-2D8A-4C08-B03A-B3122E0CA226}</author>
  </authors>
  <commentList>
    <comment ref="C1" authorId="0" shapeId="0" xr:uid="{CD981B78-0EA1-4FD1-82E6-1033443EFAB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It makes no sense to break up costs based on EU27 v. UK v. NO, so either we aggregate together or we have to separate into much smaller juridictions/sub-regions with similar terrain, resources etc, climate. </t>
      </text>
    </comment>
    <comment ref="B6" authorId="1" shapeId="0" xr:uid="{D9B62DA7-2D8A-4C08-B03A-B3122E0CA22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Need to double check the capex numbers and find a better source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tc={28BEE6E1-2CE3-4EA1-A2A6-9BE6C64E96DB}</author>
    <author>tc={AA04C88A-5E54-4A94-9650-20445CF9FC9E}</author>
    <author>tc={AB36E9A4-3E17-483F-A098-120350ECBE27}</author>
  </authors>
  <commentList>
    <comment ref="C6" authorId="0" shapeId="0" xr:uid="{28BEE6E1-2CE3-4EA1-A2A6-9BE6C64E96D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Need to double check the capex numbers and find a better source</t>
      </text>
    </comment>
    <comment ref="C11" authorId="1" shapeId="0" xr:uid="{AA04C88A-5E54-4A94-9650-20445CF9FC9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Need to double check the capex numbers and find a better source</t>
      </text>
    </comment>
    <comment ref="C16" authorId="2" shapeId="0" xr:uid="{AB36E9A4-3E17-483F-A098-120350ECBE2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Need to double check the capex numbers and find a better source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tc={57DE9426-A891-492B-99A1-6CE0AF9E00F4}</author>
  </authors>
  <commentList>
    <comment ref="E1" authorId="0" shapeId="0" xr:uid="{57DE9426-A891-492B-99A1-6CE0AF9E00F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all depends on which scenario we choose to use for projections.</t>
      </text>
    </comment>
  </commentList>
</comments>
</file>

<file path=xl/sharedStrings.xml><?xml version="1.0" encoding="utf-8"?>
<sst xmlns="http://schemas.openxmlformats.org/spreadsheetml/2006/main" count="1023" uniqueCount="160">
  <si>
    <t>year</t>
  </si>
  <si>
    <t>Source</t>
  </si>
  <si>
    <t>Note</t>
  </si>
  <si>
    <t>https://ourworldindata.org/grapher/carbon-dioxide-emissions-factor#sources-and-processing</t>
  </si>
  <si>
    <t>SCM Quota</t>
  </si>
  <si>
    <t>carbon intensity tCO2/TWh</t>
  </si>
  <si>
    <t>g</t>
  </si>
  <si>
    <t>psi</t>
  </si>
  <si>
    <t>https://www.materiaintel.com/insight/eu_ets_review_eua_price_forecast</t>
  </si>
  <si>
    <t>https://data.jrc.ec.europa.eu/dataset/1d9562ad-b342-498c-b34e-50ac04b00ded</t>
  </si>
  <si>
    <t>https://www.tandfonline.com/doi/epdf/10.1080/14693062.2025.2485196?needAccess=true</t>
  </si>
  <si>
    <t>ETS low</t>
  </si>
  <si>
    <t>ETS high</t>
  </si>
  <si>
    <t>c_ets_high</t>
  </si>
  <si>
    <t>c_ets_mid</t>
  </si>
  <si>
    <t>c_ets_low</t>
  </si>
  <si>
    <t>i</t>
  </si>
  <si>
    <t xml:space="preserve">deployement penetration of point source in sector </t>
  </si>
  <si>
    <t>%</t>
  </si>
  <si>
    <t>rho_transport</t>
  </si>
  <si>
    <t>rho_buildings</t>
  </si>
  <si>
    <t>rho_power</t>
  </si>
  <si>
    <t>Lineare Interpolation, sector gewichteter prozentsatz.</t>
  </si>
  <si>
    <t>region_i</t>
  </si>
  <si>
    <t>block_id</t>
  </si>
  <si>
    <t>storage_type</t>
  </si>
  <si>
    <t>timedelay_td</t>
  </si>
  <si>
    <t>max_injection_yr</t>
  </si>
  <si>
    <t>max_capacity</t>
  </si>
  <si>
    <t>NO</t>
  </si>
  <si>
    <t>UK</t>
  </si>
  <si>
    <t>Kompas</t>
  </si>
  <si>
    <t>Abeona</t>
  </si>
  <si>
    <t>PYCASSO</t>
  </si>
  <si>
    <t>TarraCO2</t>
  </si>
  <si>
    <t>Bockovac</t>
  </si>
  <si>
    <t>CPT01</t>
  </si>
  <si>
    <t>Devnya</t>
  </si>
  <si>
    <t>EU27</t>
  </si>
  <si>
    <t>offshore_saline_acquifers</t>
  </si>
  <si>
    <t>offshore_depleted_og_field</t>
  </si>
  <si>
    <t>onshore_saline_acquifers</t>
  </si>
  <si>
    <t>onshore_depleted_og_field</t>
  </si>
  <si>
    <t>Geothermal_CCS_Croatia</t>
  </si>
  <si>
    <t>Danube_Removals</t>
  </si>
  <si>
    <t>opex_2030</t>
  </si>
  <si>
    <t>opex_2040</t>
  </si>
  <si>
    <t>opex_2050</t>
  </si>
  <si>
    <t>capex_2030</t>
  </si>
  <si>
    <t>capex_2040</t>
  </si>
  <si>
    <t>capex_2050</t>
  </si>
  <si>
    <t>rho_cement</t>
  </si>
  <si>
    <t>rho_iron_steel</t>
  </si>
  <si>
    <t>rho_chemicals</t>
  </si>
  <si>
    <t>rho_refining</t>
  </si>
  <si>
    <t>technology_k</t>
  </si>
  <si>
    <t>region</t>
  </si>
  <si>
    <t>All</t>
  </si>
  <si>
    <t>eff_low</t>
  </si>
  <si>
    <t>eff_high</t>
  </si>
  <si>
    <t>eff_avg</t>
  </si>
  <si>
    <t>psc_cement</t>
  </si>
  <si>
    <t>psc_iron_steel</t>
  </si>
  <si>
    <t>psc_chemicals</t>
  </si>
  <si>
    <t>psc_refining</t>
  </si>
  <si>
    <t>psc_power</t>
  </si>
  <si>
    <t>region_j</t>
  </si>
  <si>
    <t>ng_volume</t>
  </si>
  <si>
    <t>value</t>
  </si>
  <si>
    <t>NO-NO represents avg offshore pipeline transport distance</t>
  </si>
  <si>
    <t>type</t>
  </si>
  <si>
    <t>onshore_pipeline</t>
  </si>
  <si>
    <t>offshore_pipeline</t>
  </si>
  <si>
    <t>c_trans_low</t>
  </si>
  <si>
    <t>c_trans_high</t>
  </si>
  <si>
    <t>c_trans_avg</t>
  </si>
  <si>
    <t>sector_i</t>
  </si>
  <si>
    <t>Industry</t>
  </si>
  <si>
    <t>Power</t>
  </si>
  <si>
    <t>Transport</t>
  </si>
  <si>
    <t>Building</t>
  </si>
  <si>
    <t>capex_2026</t>
  </si>
  <si>
    <t>opex_2026</t>
  </si>
  <si>
    <t>transmission_losses</t>
  </si>
  <si>
    <t>sector_s</t>
  </si>
  <si>
    <t>cap_init</t>
  </si>
  <si>
    <t>delta_cap</t>
  </si>
  <si>
    <t>ir_cap</t>
  </si>
  <si>
    <t>Industry_cement</t>
  </si>
  <si>
    <t>Industry_iron_steel</t>
  </si>
  <si>
    <t>Industry_chemicals</t>
  </si>
  <si>
    <t>Industry_refining</t>
  </si>
  <si>
    <t>rho_otherindustries</t>
  </si>
  <si>
    <t>Industry_other</t>
  </si>
  <si>
    <t>psc_otherindustry</t>
  </si>
  <si>
    <t>stage_id</t>
  </si>
  <si>
    <t>Greensand</t>
  </si>
  <si>
    <t>L04</t>
  </si>
  <si>
    <t>L09</t>
  </si>
  <si>
    <t>K14</t>
  </si>
  <si>
    <t>L10</t>
  </si>
  <si>
    <t>Porthos</t>
  </si>
  <si>
    <t>Ravenna</t>
  </si>
  <si>
    <t>Prinos</t>
  </si>
  <si>
    <t xml:space="preserve">Kalundborg </t>
  </si>
  <si>
    <t>Greenstore</t>
  </si>
  <si>
    <t>Bifrost</t>
  </si>
  <si>
    <t>Fieni_Botesti</t>
  </si>
  <si>
    <t>Golianovo</t>
  </si>
  <si>
    <t>Moravia</t>
  </si>
  <si>
    <t>Project_Ruby</t>
  </si>
  <si>
    <t>Havstjerne</t>
  </si>
  <si>
    <t>Northern_Lights</t>
  </si>
  <si>
    <t>Smeaheia</t>
  </si>
  <si>
    <t>Luna</t>
  </si>
  <si>
    <t>Trudvang</t>
  </si>
  <si>
    <t>Kinno</t>
  </si>
  <si>
    <t>Atlas</t>
  </si>
  <si>
    <t>Hewett</t>
  </si>
  <si>
    <t>Liverpool_Bay</t>
  </si>
  <si>
    <t>Viking</t>
  </si>
  <si>
    <t>Medway</t>
  </si>
  <si>
    <t>Morecambe</t>
  </si>
  <si>
    <t>Poseidon</t>
  </si>
  <si>
    <t>Orion</t>
  </si>
  <si>
    <t>Magnus_and_Thistle</t>
  </si>
  <si>
    <t>Tellus_1</t>
  </si>
  <si>
    <t>Tellus_5</t>
  </si>
  <si>
    <t>Tellus_7</t>
  </si>
  <si>
    <t>Acorn</t>
  </si>
  <si>
    <t>Northern_Endurance</t>
  </si>
  <si>
    <t>opex_fix_2030</t>
  </si>
  <si>
    <t>opex_fix_2040</t>
  </si>
  <si>
    <t>opex_fix_2026</t>
  </si>
  <si>
    <t>opex_fix_2050</t>
  </si>
  <si>
    <t>opex_var_2026</t>
  </si>
  <si>
    <t>opex_var_2030</t>
  </si>
  <si>
    <t>opex_var_2040</t>
  </si>
  <si>
    <t>opex_var_2050</t>
  </si>
  <si>
    <t>Download | ENTSOs TYNDP Scenarios 2026</t>
  </si>
  <si>
    <t>ENTSOE CO2 Price Trajectory</t>
  </si>
  <si>
    <t>Year</t>
  </si>
  <si>
    <t>EU|psc_cement</t>
  </si>
  <si>
    <t>EU|psc_chemicals</t>
  </si>
  <si>
    <t>EU|psc_iron_steel</t>
  </si>
  <si>
    <t>EU|psc_otherindustry</t>
  </si>
  <si>
    <t>EU|psc_power</t>
  </si>
  <si>
    <t>EU|psc_refining</t>
  </si>
  <si>
    <t>NO|psc_cement</t>
  </si>
  <si>
    <t>NO|psc_chemicals</t>
  </si>
  <si>
    <t>NO|psc_iron_steel</t>
  </si>
  <si>
    <t>NO|psc_otherindustry</t>
  </si>
  <si>
    <t>NO|psc_power</t>
  </si>
  <si>
    <t>NO|psc_refining</t>
  </si>
  <si>
    <t>UK|psc_cement</t>
  </si>
  <si>
    <t>UK|psc_chemicals</t>
  </si>
  <si>
    <t>UK|psc_iron_steel</t>
  </si>
  <si>
    <t>UK|psc_otherindustry</t>
  </si>
  <si>
    <t>UK|psc_power</t>
  </si>
  <si>
    <t>UK|psc_refining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</si>
</sst>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4" fillId="0" borderId="0" xfId="3"/>
    <xf numFmtId="1" fontId="0" fillId="0" borderId="0" xfId="0" applyNumberFormat="1"/>
    <xf numFmtId="164" fontId="0" fillId="0" borderId="0" xfId="0" applyNumberFormat="1"/>
    <xf numFmtId="164" fontId="0" fillId="0" borderId="0" xfId="2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6" fillId="0" borderId="0" xfId="0" applyFont="1"/>
    <xf numFmtId="2" fontId="0" fillId="0" borderId="0" xfId="0" applyNumberFormat="1"/>
    <xf numFmtId="0" fontId="0" fillId="3" borderId="0" xfId="0" applyFill="1"/>
    <xf numFmtId="3" fontId="0" fillId="0" borderId="0" xfId="0" applyNumberFormat="1"/>
    <xf numFmtId="3" fontId="0" fillId="3" borderId="0" xfId="0" applyNumberFormat="1" applyFill="1" applyAlignment="1">
      <alignment vertical="center" wrapText="1"/>
    </xf>
    <xf numFmtId="0" fontId="0" fillId="4" borderId="0" xfId="0" applyFill="1"/>
  </cellXfs>
  <cellStyles count="4">
    <cellStyle name="Komma" xfId="1" builtinId="3"/>
    <cellStyle name="Link" xfId="3" builtinId="8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grid Sundvor" id="{BC324ECB-F4EE-4D24-BF0A-60DE5A1B8810}" userId="S::orie4242@ox.ac.uk::2a345b66-f9dd-4a35-86be-f8775cfdb896" providerId="AD"/>
  <person displayName="Ingrid Sundvor" id="{8E645961-F321-481E-B2BF-DEF90E2F6649}" userId="S::Ingrid.sundvor@carbon-balance.earth::1633800e-4008-4f5f-88a5-7bd0a8f0ba45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9-07T17:50:10.52" personId="{BC324ECB-F4EE-4D24-BF0A-60DE5A1B8810}" id="{E456C0E3-8611-4020-A73B-239459A15434}">
    <text>I think it would be smart to have three ETS scenarios low-middle-high</text>
  </threadedComment>
  <threadedComment ref="F1" dT="2026-09-07T19:27:05.34" personId="{BC324ECB-F4EE-4D24-BF0A-60DE5A1B8810}" id="{7D83D906-E769-44E0-A657-E4AC1A627004}">
    <text xml:space="preserve">These are guess-estimates based on Gunter et al 2026. </text>
  </threadedComment>
  <threadedComment ref="H1" dT="2026-09-07T17:52:20.57" personId="{BC324ECB-F4EE-4D24-BF0A-60DE5A1B8810}" id="{FA0CF711-F54F-4DB5-94CC-5367CB4526DD}">
    <text>Assuming zero capture rate.</text>
  </threadedComment>
  <threadedComment ref="D2" dT="2026-09-07T19:34:26.05" personId="{BC324ECB-F4EE-4D24-BF0A-60DE5A1B8810}" id="{3DBD778A-6B82-460E-B17F-C2256EDC3DF0}">
    <text xml:space="preserve">Same starting point with the average value for 2026. </text>
  </threadedComment>
  <threadedComment ref="D14" dT="2026-09-08T08:00:14.17" personId="{8E645961-F321-481E-B2BF-DEF90E2F6649}" id="{3064E4AF-B2E8-4B60-9B17-66D9629C3FAD}">
    <text xml:space="preserve">From 2038, this data is projected by authors. </text>
  </threadedComment>
  <threadedComment ref="D26" dT="2026-09-08T08:41:38.71" personId="{8E645961-F321-481E-B2BF-DEF90E2F6649}" id="{5048F8DB-3A80-473E-A1DF-32B695432271}">
    <text xml:space="preserve">We assumed an end-point for ETS here to get to above 300 EUR </text>
  </threadedComment>
  <threadedComment ref="B27" dT="2026-09-03T12:32:37.24" personId="{8E645961-F321-481E-B2BF-DEF90E2F6649}" id="{52F0BE87-451A-4127-ABAD-10F09B6A3CE8}">
    <text>Stuart's upcoming paper?</text>
  </threadedComment>
  <threadedComment ref="B27" dT="2026-09-03T12:40:10.71" personId="{8E645961-F321-481E-B2BF-DEF90E2F6649}" id="{BC9D880C-945E-4ADD-AC94-DFC5E572DD2D}" parentId="{52F0BE87-451A-4127-ABAD-10F09B6A3CE8}">
    <text xml:space="preserve">Right now, I have just assumed a starting point of 1% with a quadratic reaching 100% by 2050. 
f(t) = 1+a*t^2, with t=0 in 2026 and t=24 in 2050. Coefficient of a=0,1719. </text>
  </threadedComment>
  <threadedComment ref="G27" dT="2026-09-07T17:53:45.45" personId="{BC324ECB-F4EE-4D24-BF0A-60DE5A1B8810}" id="{96353A31-70BB-44E4-B9D1-152889BC194C}">
    <text xml:space="preserve">Assuming zero capture rate. No reference needed. </text>
  </threadedComment>
  <threadedComment ref="H27" dT="2026-09-07T17:53:50.72" personId="{BC324ECB-F4EE-4D24-BF0A-60DE5A1B8810}" id="{D346C95E-C1F0-4386-9906-4F319A86B1B4}">
    <text xml:space="preserve">Assuming zero capture rate. No reference needed. </text>
  </threadedComment>
  <threadedComment ref="I27" dT="2026-09-07T17:53:22.97" personId="{BC324ECB-F4EE-4D24-BF0A-60DE5A1B8810}" id="{441CC3D6-10F2-4CAF-8D05-73490F850599}">
    <text>This is gross gas capacities installed of which power plants equipped with CCS, presented as %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9-08T12:04:54.20" personId="{8E645961-F321-481E-B2BF-DEF90E2F6649}" id="{3905F842-2EE3-441F-9189-B7519F862880}">
    <text xml:space="preserve">Deleted licenses that are in exploration, seismic testing and modelling.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6-09-07T17:39:04.94" personId="{BC324ECB-F4EE-4D24-BF0A-60DE5A1B8810}" id="{CD981B78-0EA1-4FD1-82E6-1033443EFABD}">
    <text xml:space="preserve">It makes no sense to break up costs based on EU27 v. UK v. NO, so either we aggregate together or we have to separate into much smaller juridictions/sub-regions with similar terrain, resources etc, climate. </text>
  </threadedComment>
  <threadedComment ref="B6" dT="2026-09-07T18:25:00.36" personId="{BC324ECB-F4EE-4D24-BF0A-60DE5A1B8810}" id="{D9B62DA7-2D8A-4C08-B03A-B3122E0CA226}">
    <text>Need to double check the capex numbers and find a better source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6" dT="2026-09-07T18:25:00.36" personId="{BC324ECB-F4EE-4D24-BF0A-60DE5A1B8810}" id="{28BEE6E1-2CE3-4EA1-A2A6-9BE6C64E96DB}">
    <text>Need to double check the capex numbers and find a better source</text>
  </threadedComment>
  <threadedComment ref="C11" dT="2026-09-07T18:25:00.36" personId="{BC324ECB-F4EE-4D24-BF0A-60DE5A1B8810}" id="{AA04C88A-5E54-4A94-9650-20445CF9FC9E}">
    <text>Need to double check the capex numbers and find a better source</text>
  </threadedComment>
  <threadedComment ref="C16" dT="2026-09-07T18:25:00.36" personId="{BC324ECB-F4EE-4D24-BF0A-60DE5A1B8810}" id="{AB36E9A4-3E17-483F-A098-120350ECBE27}">
    <text>Need to double check the capex numbers and find a better source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1" dT="2026-09-07T15:19:44.89" personId="{BC324ECB-F4EE-4D24-BF0A-60DE5A1B8810}" id="{57DE9426-A891-492B-99A1-6CE0AF9E00F4}">
    <text>This all depends on which scenario we choose to use for projections.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materiaintel.com/insight/eu_ets_review_eua_price_forecast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tandfonline.com/doi/epdf/10.1080/14693062.2025.2485196?needAccess=true" TargetMode="External"/><Relationship Id="rId1" Type="http://schemas.openxmlformats.org/officeDocument/2006/relationships/hyperlink" Target="https://ourworldindata.org/grapher/carbon-dioxide-emissions-facto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2026.entsos-tyndp-scenarios.eu/download/" TargetMode="External"/><Relationship Id="rId4" Type="http://schemas.openxmlformats.org/officeDocument/2006/relationships/hyperlink" Target="https://data.jrc.ec.europa.eu/dataset/1d9562ad-b342-498c-b34e-50ac04b00ded" TargetMode="External"/><Relationship Id="rId9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4899-9178-45D2-B3B9-315EC5B27CDC}">
  <dimension ref="A1:N29"/>
  <sheetViews>
    <sheetView workbookViewId="0">
      <selection activeCell="S15" sqref="S15"/>
    </sheetView>
  </sheetViews>
  <sheetFormatPr baseColWidth="10" defaultRowHeight="15" x14ac:dyDescent="0.25"/>
  <sheetData>
    <row r="1" spans="1:14" x14ac:dyDescent="0.25">
      <c r="A1" s="1" t="s">
        <v>0</v>
      </c>
      <c r="B1" s="1" t="s">
        <v>6</v>
      </c>
      <c r="C1" s="1" t="s">
        <v>7</v>
      </c>
      <c r="D1" s="1" t="s">
        <v>15</v>
      </c>
      <c r="E1" s="1" t="s">
        <v>14</v>
      </c>
      <c r="F1" s="1" t="s">
        <v>13</v>
      </c>
      <c r="G1" s="1" t="s">
        <v>19</v>
      </c>
      <c r="H1" s="1" t="s">
        <v>20</v>
      </c>
      <c r="I1" s="1" t="s">
        <v>21</v>
      </c>
      <c r="J1" s="1" t="s">
        <v>92</v>
      </c>
      <c r="K1" s="1" t="s">
        <v>51</v>
      </c>
      <c r="L1" s="1" t="s">
        <v>52</v>
      </c>
      <c r="M1" s="1" t="s">
        <v>53</v>
      </c>
      <c r="N1" s="1" t="s">
        <v>54</v>
      </c>
    </row>
    <row r="2" spans="1:14" x14ac:dyDescent="0.25">
      <c r="A2">
        <v>2026</v>
      </c>
      <c r="B2" s="12">
        <v>0</v>
      </c>
      <c r="C2">
        <v>202000</v>
      </c>
      <c r="D2" s="5">
        <v>80</v>
      </c>
      <c r="E2">
        <v>80</v>
      </c>
      <c r="F2" s="5">
        <v>80</v>
      </c>
      <c r="G2">
        <v>0</v>
      </c>
      <c r="H2">
        <v>0</v>
      </c>
      <c r="I2" s="6">
        <f>60/(202217+6073+3405)*100</f>
        <v>2.834266279316942E-2</v>
      </c>
      <c r="J2">
        <v>0</v>
      </c>
      <c r="K2">
        <v>1</v>
      </c>
      <c r="L2">
        <v>1</v>
      </c>
      <c r="M2">
        <v>2</v>
      </c>
      <c r="N2">
        <v>3</v>
      </c>
    </row>
    <row r="3" spans="1:14" x14ac:dyDescent="0.25">
      <c r="A3">
        <v>2027</v>
      </c>
      <c r="B3" s="12">
        <f>(1+0.1719*(A2-A3)^2)/100</f>
        <v>1.1719E-2</v>
      </c>
      <c r="C3">
        <v>202000</v>
      </c>
      <c r="D3" s="5">
        <v>88</v>
      </c>
      <c r="E3">
        <v>84.37</v>
      </c>
      <c r="F3" s="5">
        <v>130</v>
      </c>
      <c r="G3">
        <v>0</v>
      </c>
      <c r="H3">
        <v>0</v>
      </c>
      <c r="I3" s="6">
        <f>120/(199025+5947+3414)*100</f>
        <v>5.7585442400161238E-2</v>
      </c>
      <c r="J3">
        <v>2.8000000000000003</v>
      </c>
      <c r="K3">
        <v>2</v>
      </c>
      <c r="L3">
        <v>2</v>
      </c>
      <c r="M3">
        <v>4</v>
      </c>
      <c r="N3">
        <v>5</v>
      </c>
    </row>
    <row r="4" spans="1:14" x14ac:dyDescent="0.25">
      <c r="A4">
        <v>2028</v>
      </c>
      <c r="B4" s="12">
        <f>(1+0.1719*(A2-A4)^2)/100</f>
        <v>1.6875999999999999E-2</v>
      </c>
      <c r="C4">
        <v>202000</v>
      </c>
      <c r="D4" s="5">
        <v>97</v>
      </c>
      <c r="E4">
        <v>88.74</v>
      </c>
      <c r="F4" s="5">
        <v>185</v>
      </c>
      <c r="G4">
        <v>0</v>
      </c>
      <c r="H4">
        <v>0</v>
      </c>
      <c r="I4" s="7">
        <f>220/(199979+5947+3251)*100</f>
        <v>0.10517408701721509</v>
      </c>
      <c r="J4">
        <v>4.1000000000000005</v>
      </c>
      <c r="K4">
        <v>3</v>
      </c>
      <c r="L4">
        <v>3</v>
      </c>
      <c r="M4">
        <v>6</v>
      </c>
      <c r="N4">
        <v>8</v>
      </c>
    </row>
    <row r="5" spans="1:14" x14ac:dyDescent="0.25">
      <c r="A5">
        <v>2029</v>
      </c>
      <c r="B5" s="12">
        <f>(1+0.1719*(A2-A5)^2)/100</f>
        <v>2.5471000000000001E-2</v>
      </c>
      <c r="C5">
        <v>202000</v>
      </c>
      <c r="D5" s="5">
        <v>108</v>
      </c>
      <c r="E5">
        <v>93.1</v>
      </c>
      <c r="F5" s="5">
        <v>220</v>
      </c>
      <c r="G5">
        <v>0</v>
      </c>
      <c r="H5">
        <v>0</v>
      </c>
      <c r="I5" s="6">
        <f>447/(209992+5947+3210)*100</f>
        <v>0.2039708143774327</v>
      </c>
      <c r="J5">
        <v>5.5</v>
      </c>
      <c r="K5">
        <v>5</v>
      </c>
      <c r="L5">
        <v>4</v>
      </c>
      <c r="M5">
        <v>8</v>
      </c>
      <c r="N5">
        <v>13</v>
      </c>
    </row>
    <row r="6" spans="1:14" x14ac:dyDescent="0.25">
      <c r="A6">
        <v>2030</v>
      </c>
      <c r="B6" s="12">
        <f>(1+0.1719*(A2-A6)^2)/100</f>
        <v>3.7504000000000003E-2</v>
      </c>
      <c r="C6">
        <v>202000</v>
      </c>
      <c r="D6" s="5">
        <v>120</v>
      </c>
      <c r="E6">
        <v>97.47</v>
      </c>
      <c r="F6" s="5">
        <v>261</v>
      </c>
      <c r="G6">
        <v>0</v>
      </c>
      <c r="H6">
        <v>0</v>
      </c>
      <c r="I6" s="6">
        <f>507/(223192+5897+3188)*100</f>
        <v>0.218273871282994</v>
      </c>
      <c r="J6">
        <v>6.9</v>
      </c>
      <c r="K6">
        <v>7</v>
      </c>
      <c r="L6">
        <v>5</v>
      </c>
      <c r="M6">
        <v>10</v>
      </c>
      <c r="N6">
        <v>21</v>
      </c>
    </row>
    <row r="7" spans="1:14" x14ac:dyDescent="0.25">
      <c r="A7">
        <v>2031</v>
      </c>
      <c r="B7" s="12">
        <f>(1+0.1719*(A2-A7)^2)/100</f>
        <v>5.2975000000000001E-2</v>
      </c>
      <c r="C7">
        <v>202000</v>
      </c>
      <c r="D7" s="5">
        <v>126</v>
      </c>
      <c r="E7">
        <v>117.48</v>
      </c>
      <c r="F7" s="5">
        <v>280</v>
      </c>
      <c r="G7">
        <v>0</v>
      </c>
      <c r="H7">
        <v>0</v>
      </c>
      <c r="I7" s="6">
        <f>787/(232996+5777+3030)*100</f>
        <v>0.32547156156044382</v>
      </c>
      <c r="J7">
        <v>8.6999999999999993</v>
      </c>
      <c r="K7">
        <v>10</v>
      </c>
      <c r="L7">
        <v>7</v>
      </c>
      <c r="M7">
        <v>13</v>
      </c>
      <c r="N7">
        <v>24</v>
      </c>
    </row>
    <row r="8" spans="1:14" x14ac:dyDescent="0.25">
      <c r="A8">
        <v>2032</v>
      </c>
      <c r="B8" s="12">
        <f>(1+0.1719*(A2-A8)^2)/100</f>
        <v>7.1884000000000003E-2</v>
      </c>
      <c r="C8">
        <v>202000</v>
      </c>
      <c r="D8" s="5">
        <v>133</v>
      </c>
      <c r="E8">
        <v>137.49</v>
      </c>
      <c r="F8" s="5">
        <v>300</v>
      </c>
      <c r="G8">
        <v>0</v>
      </c>
      <c r="H8">
        <v>0</v>
      </c>
      <c r="I8" s="6">
        <f>1072/(231947+5789+3093)*100</f>
        <v>0.44512911651005482</v>
      </c>
      <c r="J8">
        <v>10.5</v>
      </c>
      <c r="K8">
        <v>14</v>
      </c>
      <c r="L8">
        <v>9</v>
      </c>
      <c r="M8">
        <v>16</v>
      </c>
      <c r="N8">
        <v>26</v>
      </c>
    </row>
    <row r="9" spans="1:14" x14ac:dyDescent="0.25">
      <c r="A9">
        <v>2033</v>
      </c>
      <c r="B9" s="12">
        <f>(1+0.1719*(A2-A9)^2)/100</f>
        <v>9.4230999999999995E-2</v>
      </c>
      <c r="C9">
        <v>202000</v>
      </c>
      <c r="D9" s="5">
        <v>141</v>
      </c>
      <c r="E9">
        <v>157.49</v>
      </c>
      <c r="F9" s="5">
        <v>330</v>
      </c>
      <c r="G9">
        <v>0</v>
      </c>
      <c r="H9">
        <v>0</v>
      </c>
      <c r="I9" s="6">
        <f>1342/(236095+5781+3093)*100</f>
        <v>0.54782441859990449</v>
      </c>
      <c r="J9">
        <v>12.3</v>
      </c>
      <c r="K9">
        <v>19</v>
      </c>
      <c r="L9">
        <v>12</v>
      </c>
      <c r="M9">
        <v>18</v>
      </c>
      <c r="N9">
        <v>27</v>
      </c>
    </row>
    <row r="10" spans="1:14" x14ac:dyDescent="0.25">
      <c r="A10">
        <v>2034</v>
      </c>
      <c r="B10" s="12">
        <f>(1+0.1719*(A2-A10)^2)/100</f>
        <v>0.120016</v>
      </c>
      <c r="C10">
        <v>202000</v>
      </c>
      <c r="D10" s="5">
        <v>150</v>
      </c>
      <c r="E10">
        <v>177.5</v>
      </c>
      <c r="F10" s="5">
        <v>380</v>
      </c>
      <c r="G10">
        <v>0</v>
      </c>
      <c r="H10">
        <v>0</v>
      </c>
      <c r="I10" s="6">
        <f>2292/(233237+5696+3002)*100</f>
        <v>0.9473618947237894</v>
      </c>
      <c r="J10">
        <v>14.099999999999998</v>
      </c>
      <c r="K10">
        <v>25</v>
      </c>
      <c r="L10">
        <v>15</v>
      </c>
      <c r="M10">
        <v>20</v>
      </c>
      <c r="N10">
        <v>29</v>
      </c>
    </row>
    <row r="11" spans="1:14" x14ac:dyDescent="0.25">
      <c r="A11">
        <v>2035</v>
      </c>
      <c r="B11" s="12">
        <f>(1+0.1719*(A2-A11)^2)/100</f>
        <v>0.14923900000000001</v>
      </c>
      <c r="C11">
        <v>202000</v>
      </c>
      <c r="D11" s="5">
        <v>159</v>
      </c>
      <c r="E11">
        <v>197.51</v>
      </c>
      <c r="F11" s="5">
        <v>400</v>
      </c>
      <c r="G11">
        <v>0</v>
      </c>
      <c r="H11">
        <v>0</v>
      </c>
      <c r="I11" s="6">
        <f>3092/(247415+5709+2999)*100</f>
        <v>1.2072324625277697</v>
      </c>
      <c r="J11">
        <v>15.9</v>
      </c>
      <c r="K11">
        <v>32</v>
      </c>
      <c r="L11">
        <v>18</v>
      </c>
      <c r="M11">
        <v>22</v>
      </c>
      <c r="N11">
        <v>31</v>
      </c>
    </row>
    <row r="12" spans="1:14" x14ac:dyDescent="0.25">
      <c r="A12">
        <v>2036</v>
      </c>
      <c r="B12" s="12">
        <f>(1+0.1719*(A2-A12)^2)/100</f>
        <v>0.18190000000000001</v>
      </c>
      <c r="C12">
        <v>202000</v>
      </c>
      <c r="D12" s="5">
        <v>169</v>
      </c>
      <c r="E12">
        <v>217.52</v>
      </c>
      <c r="F12" s="5">
        <v>410</v>
      </c>
      <c r="G12">
        <v>0</v>
      </c>
      <c r="H12">
        <v>0</v>
      </c>
      <c r="I12" s="6">
        <f>4322/(247146+5764+3033)*100</f>
        <v>1.6886572400886135</v>
      </c>
      <c r="J12">
        <v>17.7</v>
      </c>
      <c r="K12">
        <v>39</v>
      </c>
      <c r="L12">
        <v>21</v>
      </c>
      <c r="M12">
        <v>23</v>
      </c>
      <c r="N12">
        <v>33</v>
      </c>
    </row>
    <row r="13" spans="1:14" x14ac:dyDescent="0.25">
      <c r="A13">
        <v>2037</v>
      </c>
      <c r="B13" s="12">
        <f>(1+0.1719*(A2-A13)^2)/100</f>
        <v>0.217999</v>
      </c>
      <c r="C13">
        <v>202000</v>
      </c>
      <c r="D13" s="5">
        <v>181</v>
      </c>
      <c r="E13">
        <v>237.52</v>
      </c>
      <c r="F13" s="5">
        <v>420</v>
      </c>
      <c r="G13">
        <v>0</v>
      </c>
      <c r="H13">
        <v>0</v>
      </c>
      <c r="I13" s="6">
        <f>4862/(245425+5765+3033)*100</f>
        <v>1.9124941488378313</v>
      </c>
      <c r="J13">
        <v>19.5</v>
      </c>
      <c r="K13">
        <v>46</v>
      </c>
      <c r="L13">
        <v>23</v>
      </c>
      <c r="M13">
        <v>24</v>
      </c>
      <c r="N13">
        <v>35</v>
      </c>
    </row>
    <row r="14" spans="1:14" x14ac:dyDescent="0.25">
      <c r="A14">
        <v>2038</v>
      </c>
      <c r="B14" s="12">
        <f>(1+0.1719*(A2-A15)^2)/100</f>
        <v>0.30051099999999997</v>
      </c>
      <c r="C14">
        <v>202000</v>
      </c>
      <c r="D14">
        <v>195</v>
      </c>
      <c r="E14">
        <v>257.52999999999997</v>
      </c>
      <c r="F14" s="5">
        <v>425</v>
      </c>
      <c r="G14">
        <v>0</v>
      </c>
      <c r="H14">
        <v>0</v>
      </c>
      <c r="I14" s="6">
        <f>5642/(240011+5797+2853)*100</f>
        <v>2.2689525096416405</v>
      </c>
      <c r="J14">
        <v>21.3</v>
      </c>
      <c r="K14">
        <v>53</v>
      </c>
      <c r="L14">
        <v>25</v>
      </c>
      <c r="M14">
        <v>25</v>
      </c>
      <c r="N14">
        <v>36</v>
      </c>
    </row>
    <row r="15" spans="1:14" x14ac:dyDescent="0.25">
      <c r="A15">
        <v>2039</v>
      </c>
      <c r="B15" s="12">
        <f>(1+0.1719*(A2-A15)^2)/100</f>
        <v>0.30051099999999997</v>
      </c>
      <c r="C15">
        <v>202000</v>
      </c>
      <c r="D15" s="5">
        <v>211</v>
      </c>
      <c r="E15">
        <v>277.52999999999997</v>
      </c>
      <c r="F15" s="5">
        <v>430</v>
      </c>
      <c r="G15">
        <v>0</v>
      </c>
      <c r="H15">
        <v>0</v>
      </c>
      <c r="I15" s="6">
        <f>5942/(228740+5795+2828)*100</f>
        <v>2.5033387680472527</v>
      </c>
      <c r="J15">
        <v>23.1</v>
      </c>
      <c r="K15">
        <v>59</v>
      </c>
      <c r="L15">
        <v>26</v>
      </c>
      <c r="M15">
        <v>26</v>
      </c>
      <c r="N15">
        <v>37</v>
      </c>
    </row>
    <row r="16" spans="1:14" x14ac:dyDescent="0.25">
      <c r="A16">
        <v>2040</v>
      </c>
      <c r="B16" s="12">
        <f>(1+0.1719*(A2-A16)^2)/100</f>
        <v>0.34692400000000001</v>
      </c>
      <c r="C16">
        <v>202000</v>
      </c>
      <c r="D16" s="5">
        <v>227</v>
      </c>
      <c r="E16">
        <v>297.54000000000002</v>
      </c>
      <c r="F16">
        <v>435</v>
      </c>
      <c r="G16">
        <v>0</v>
      </c>
      <c r="H16">
        <v>0</v>
      </c>
      <c r="I16" s="6">
        <f>7382/(218838+5985+2820)*100</f>
        <v>3.2427968353957732</v>
      </c>
      <c r="J16">
        <v>24.9</v>
      </c>
      <c r="K16">
        <v>64</v>
      </c>
      <c r="L16">
        <v>27</v>
      </c>
      <c r="M16">
        <v>27</v>
      </c>
      <c r="N16">
        <v>38</v>
      </c>
    </row>
    <row r="17" spans="1:14" x14ac:dyDescent="0.25">
      <c r="A17">
        <v>2041</v>
      </c>
      <c r="B17" s="12">
        <f>(1+0.1719*(A2-A17)^2)/100</f>
        <v>0.39677500000000004</v>
      </c>
      <c r="C17">
        <v>202000</v>
      </c>
      <c r="D17" s="5">
        <v>245</v>
      </c>
      <c r="E17">
        <v>318.06</v>
      </c>
      <c r="F17" s="5">
        <v>440</v>
      </c>
      <c r="G17">
        <v>0</v>
      </c>
      <c r="H17">
        <v>0</v>
      </c>
      <c r="I17" s="6">
        <f>9412/(210924+5900+2753)*100</f>
        <v>4.2864234414351232</v>
      </c>
      <c r="J17">
        <v>26.700000000000003</v>
      </c>
      <c r="K17">
        <v>68</v>
      </c>
      <c r="L17">
        <v>28</v>
      </c>
      <c r="M17">
        <v>28</v>
      </c>
      <c r="N17">
        <v>39</v>
      </c>
    </row>
    <row r="18" spans="1:14" x14ac:dyDescent="0.25">
      <c r="A18">
        <v>2042</v>
      </c>
      <c r="B18" s="12">
        <f>(1+0.1719*(A2-A18)^2)/100</f>
        <v>0.45006400000000002</v>
      </c>
      <c r="C18">
        <v>202000</v>
      </c>
      <c r="D18" s="5">
        <v>262</v>
      </c>
      <c r="E18">
        <v>338.58</v>
      </c>
      <c r="F18" s="5">
        <v>445</v>
      </c>
      <c r="G18">
        <v>0</v>
      </c>
      <c r="H18">
        <v>0</v>
      </c>
      <c r="I18" s="6">
        <f>11552/(205206+5884+2353)*100</f>
        <v>5.4122177817965449</v>
      </c>
      <c r="J18">
        <v>28.499999999999996</v>
      </c>
      <c r="K18">
        <v>71</v>
      </c>
      <c r="L18">
        <v>28</v>
      </c>
      <c r="M18">
        <v>28</v>
      </c>
      <c r="N18">
        <v>40</v>
      </c>
    </row>
    <row r="19" spans="1:14" x14ac:dyDescent="0.25">
      <c r="A19">
        <v>2043</v>
      </c>
      <c r="B19" s="12">
        <f>(1+0.1719*(A2-A19)^2)/100</f>
        <v>0.50679099999999999</v>
      </c>
      <c r="C19">
        <v>202000</v>
      </c>
      <c r="D19" s="5">
        <v>279</v>
      </c>
      <c r="E19">
        <v>359.1</v>
      </c>
      <c r="F19" s="5">
        <v>450</v>
      </c>
      <c r="G19">
        <v>0</v>
      </c>
      <c r="H19">
        <v>0</v>
      </c>
      <c r="I19" s="6">
        <f>13387/(206885+5619+2353)*100</f>
        <v>6.2306557384679113</v>
      </c>
      <c r="J19">
        <v>30.3</v>
      </c>
      <c r="K19">
        <v>73</v>
      </c>
      <c r="L19">
        <v>27</v>
      </c>
      <c r="M19">
        <v>28</v>
      </c>
      <c r="N19">
        <v>41</v>
      </c>
    </row>
    <row r="20" spans="1:14" x14ac:dyDescent="0.25">
      <c r="A20">
        <v>2044</v>
      </c>
      <c r="B20" s="12">
        <f>(1+0.1719*(A2-A20)^2)/100</f>
        <v>0.56695600000000002</v>
      </c>
      <c r="C20">
        <v>202000</v>
      </c>
      <c r="D20" s="5">
        <v>295</v>
      </c>
      <c r="E20">
        <v>379.62</v>
      </c>
      <c r="F20" s="5">
        <v>455</v>
      </c>
      <c r="G20">
        <v>0</v>
      </c>
      <c r="H20">
        <v>0</v>
      </c>
      <c r="I20" s="6">
        <f>16672/(202937+5632+2353)*100</f>
        <v>7.9043437858544872</v>
      </c>
      <c r="J20">
        <v>32.1</v>
      </c>
      <c r="K20">
        <v>74</v>
      </c>
      <c r="L20">
        <v>26</v>
      </c>
      <c r="M20">
        <v>28</v>
      </c>
      <c r="N20">
        <v>42</v>
      </c>
    </row>
    <row r="21" spans="1:14" x14ac:dyDescent="0.25">
      <c r="A21">
        <v>2045</v>
      </c>
      <c r="B21" s="12">
        <f>(1+0.1719*(A2-A21)^2)/100</f>
        <v>0.63055899999999998</v>
      </c>
      <c r="C21">
        <v>202000</v>
      </c>
      <c r="D21" s="5">
        <v>312</v>
      </c>
      <c r="E21">
        <v>400.14</v>
      </c>
      <c r="F21" s="5">
        <v>460</v>
      </c>
      <c r="G21">
        <v>0</v>
      </c>
      <c r="H21">
        <v>0</v>
      </c>
      <c r="I21" s="6">
        <f>20607/(201376+5631+2353)*100</f>
        <v>9.8428544134505156</v>
      </c>
      <c r="J21">
        <v>33.900000000000006</v>
      </c>
      <c r="K21">
        <v>73</v>
      </c>
      <c r="L21">
        <v>26</v>
      </c>
      <c r="M21">
        <v>29</v>
      </c>
      <c r="N21">
        <v>43</v>
      </c>
    </row>
    <row r="22" spans="1:14" x14ac:dyDescent="0.25">
      <c r="A22">
        <v>2046</v>
      </c>
      <c r="B22" s="12">
        <f>(1+0.1719*(A2-A22)^2)/100</f>
        <v>0.6976</v>
      </c>
      <c r="C22">
        <v>202000</v>
      </c>
      <c r="D22" s="5">
        <v>327</v>
      </c>
      <c r="E22">
        <v>420.66</v>
      </c>
      <c r="F22" s="5">
        <v>464</v>
      </c>
      <c r="G22">
        <v>0</v>
      </c>
      <c r="H22">
        <v>0</v>
      </c>
      <c r="I22" s="6">
        <f>23372/(200773+5630+2353)*100</f>
        <v>11.195845867903198</v>
      </c>
      <c r="J22">
        <v>35.699999999999996</v>
      </c>
      <c r="K22">
        <v>72</v>
      </c>
      <c r="L22">
        <v>26</v>
      </c>
      <c r="M22">
        <v>29</v>
      </c>
      <c r="N22">
        <v>43</v>
      </c>
    </row>
    <row r="23" spans="1:14" x14ac:dyDescent="0.25">
      <c r="A23">
        <v>2047</v>
      </c>
      <c r="B23" s="12">
        <f>(1+0.1719*(A2-A23)^2)/100</f>
        <v>0.76807900000000007</v>
      </c>
      <c r="C23">
        <v>202000</v>
      </c>
      <c r="D23" s="5">
        <v>342</v>
      </c>
      <c r="E23">
        <v>441.18</v>
      </c>
      <c r="F23" s="5">
        <v>467</v>
      </c>
      <c r="G23">
        <v>0</v>
      </c>
      <c r="H23">
        <v>0</v>
      </c>
      <c r="I23" s="6">
        <f>24317/(196093+5622+2353)*100</f>
        <v>11.916125997216614</v>
      </c>
      <c r="J23">
        <v>37.5</v>
      </c>
      <c r="K23">
        <v>71</v>
      </c>
      <c r="L23">
        <v>25</v>
      </c>
      <c r="M23">
        <v>29</v>
      </c>
      <c r="N23">
        <v>44</v>
      </c>
    </row>
    <row r="24" spans="1:14" x14ac:dyDescent="0.25">
      <c r="A24">
        <v>2048</v>
      </c>
      <c r="B24" s="12">
        <f>(1+0.1719*(A2-A24)^2)/100</f>
        <v>0.84199600000000008</v>
      </c>
      <c r="C24">
        <v>202000</v>
      </c>
      <c r="D24" s="5">
        <v>356</v>
      </c>
      <c r="E24">
        <v>461.7</v>
      </c>
      <c r="F24" s="5">
        <v>470</v>
      </c>
      <c r="G24">
        <v>0</v>
      </c>
      <c r="H24">
        <v>0</v>
      </c>
      <c r="I24" s="6">
        <f>27552/(196354+5619+2323)*100</f>
        <v>13.486313975799819</v>
      </c>
      <c r="J24">
        <v>39.300000000000004</v>
      </c>
      <c r="K24">
        <v>71</v>
      </c>
      <c r="L24">
        <v>25</v>
      </c>
      <c r="M24">
        <v>29</v>
      </c>
      <c r="N24">
        <v>44</v>
      </c>
    </row>
    <row r="25" spans="1:14" x14ac:dyDescent="0.25">
      <c r="A25">
        <v>2049</v>
      </c>
      <c r="B25" s="12">
        <f>(1+0.1719*(A2-A25)^2)/100</f>
        <v>0.91935100000000003</v>
      </c>
      <c r="C25">
        <v>202000</v>
      </c>
      <c r="D25" s="5">
        <v>368</v>
      </c>
      <c r="E25">
        <v>482.22</v>
      </c>
      <c r="F25" s="5">
        <v>473</v>
      </c>
      <c r="G25">
        <v>0</v>
      </c>
      <c r="H25">
        <v>0</v>
      </c>
      <c r="I25" s="6">
        <f>30052/(197788+5619+2175)*100</f>
        <v>14.618011304491638</v>
      </c>
      <c r="J25">
        <v>41.099999999999994</v>
      </c>
      <c r="K25">
        <v>70</v>
      </c>
      <c r="L25">
        <v>25</v>
      </c>
      <c r="M25">
        <v>29</v>
      </c>
      <c r="N25">
        <v>45</v>
      </c>
    </row>
    <row r="26" spans="1:14" x14ac:dyDescent="0.25">
      <c r="A26">
        <v>2050</v>
      </c>
      <c r="B26" s="12">
        <v>1</v>
      </c>
      <c r="C26">
        <v>202000</v>
      </c>
      <c r="D26">
        <v>379</v>
      </c>
      <c r="E26">
        <v>502.74</v>
      </c>
      <c r="F26">
        <v>475</v>
      </c>
      <c r="G26">
        <v>0</v>
      </c>
      <c r="H26">
        <v>0</v>
      </c>
      <c r="I26" s="6">
        <f>30127/(197616+5455+2175)*100</f>
        <v>14.678483380918509</v>
      </c>
      <c r="J26">
        <v>42.9</v>
      </c>
      <c r="K26">
        <v>70</v>
      </c>
      <c r="L26">
        <v>25</v>
      </c>
      <c r="M26">
        <v>29</v>
      </c>
      <c r="N26">
        <v>45</v>
      </c>
    </row>
    <row r="27" spans="1:14" x14ac:dyDescent="0.25">
      <c r="A27" s="2" t="s">
        <v>1</v>
      </c>
      <c r="B27" s="3"/>
      <c r="C27" s="4" t="s">
        <v>3</v>
      </c>
      <c r="D27" s="4" t="s">
        <v>8</v>
      </c>
      <c r="E27" s="4" t="s">
        <v>139</v>
      </c>
      <c r="F27" s="4" t="s">
        <v>10</v>
      </c>
      <c r="G27" t="s">
        <v>16</v>
      </c>
      <c r="H27" t="s">
        <v>16</v>
      </c>
      <c r="I27" s="4" t="s">
        <v>9</v>
      </c>
    </row>
    <row r="28" spans="1:14" x14ac:dyDescent="0.25">
      <c r="A28" t="s">
        <v>2</v>
      </c>
      <c r="B28" t="s">
        <v>4</v>
      </c>
      <c r="C28" t="s">
        <v>5</v>
      </c>
      <c r="D28" t="s">
        <v>11</v>
      </c>
      <c r="E28" t="s">
        <v>140</v>
      </c>
      <c r="F28" t="s">
        <v>12</v>
      </c>
      <c r="G28" t="s">
        <v>17</v>
      </c>
      <c r="J28" t="s">
        <v>22</v>
      </c>
    </row>
    <row r="29" spans="1:14" x14ac:dyDescent="0.25">
      <c r="G29" t="s">
        <v>18</v>
      </c>
      <c r="H29" t="s">
        <v>18</v>
      </c>
      <c r="I29" t="s">
        <v>18</v>
      </c>
    </row>
  </sheetData>
  <hyperlinks>
    <hyperlink ref="C27" r:id="rId1" location="sources-and-processing" xr:uid="{2A69B3B0-17E4-4DF3-9900-1F80A399FA35}"/>
    <hyperlink ref="F27" r:id="rId2" xr:uid="{452EDB1E-1B56-4646-86B8-4BACAF7A6854}"/>
    <hyperlink ref="D27" r:id="rId3" xr:uid="{140E2839-83FE-46C3-B4D0-2969D425F9A8}"/>
    <hyperlink ref="I27" r:id="rId4" xr:uid="{EE46F9E4-2010-4731-91A1-D20CAA7A143D}"/>
    <hyperlink ref="E27" r:id="rId5" display="https://2026.entsos-tyndp-scenarios.eu/download/" xr:uid="{FC204606-9E86-4230-A5A2-1AF5BC272C10}"/>
  </hyperlinks>
  <pageMargins left="0.7" right="0.7" top="0.78740157499999996" bottom="0.78740157499999996" header="0.3" footer="0.3"/>
  <pageSetup paperSize="9" orientation="portrait"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52480-4336-48A0-952D-1FD697CF57B6}">
  <sheetPr filterMode="1"/>
  <dimension ref="A1:O60"/>
  <sheetViews>
    <sheetView workbookViewId="0">
      <selection activeCell="I13" sqref="I13"/>
    </sheetView>
  </sheetViews>
  <sheetFormatPr baseColWidth="10" defaultRowHeight="15" x14ac:dyDescent="0.25"/>
  <cols>
    <col min="2" max="2" width="65.85546875" customWidth="1"/>
    <col min="4" max="4" width="34.85546875" customWidth="1"/>
    <col min="7" max="7" width="17.5703125" customWidth="1"/>
  </cols>
  <sheetData>
    <row r="1" spans="1:15" x14ac:dyDescent="0.25">
      <c r="A1" s="1" t="s">
        <v>23</v>
      </c>
      <c r="B1" s="1" t="s">
        <v>24</v>
      </c>
      <c r="C1" s="1" t="s">
        <v>95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81</v>
      </c>
      <c r="I1" s="1" t="s">
        <v>48</v>
      </c>
      <c r="J1" s="1" t="s">
        <v>49</v>
      </c>
      <c r="K1" s="1" t="s">
        <v>50</v>
      </c>
      <c r="L1" s="1" t="s">
        <v>82</v>
      </c>
      <c r="M1" s="1" t="s">
        <v>45</v>
      </c>
      <c r="N1" s="1" t="s">
        <v>46</v>
      </c>
      <c r="O1" s="1" t="s">
        <v>47</v>
      </c>
    </row>
    <row r="2" spans="1:15" hidden="1" x14ac:dyDescent="0.25">
      <c r="A2" s="8" t="s">
        <v>38</v>
      </c>
      <c r="B2" s="8" t="s">
        <v>106</v>
      </c>
      <c r="C2">
        <v>2</v>
      </c>
      <c r="D2" t="s">
        <v>40</v>
      </c>
      <c r="E2" s="9">
        <f>2034-2026</f>
        <v>8</v>
      </c>
      <c r="F2" s="10">
        <v>9000000</v>
      </c>
      <c r="G2" s="10">
        <v>207000000</v>
      </c>
      <c r="H2">
        <v>2.4</v>
      </c>
      <c r="I2">
        <v>2.4</v>
      </c>
      <c r="J2">
        <v>2.4</v>
      </c>
      <c r="K2">
        <v>2.4</v>
      </c>
      <c r="L2">
        <v>6</v>
      </c>
      <c r="M2">
        <v>6</v>
      </c>
      <c r="N2">
        <v>6</v>
      </c>
      <c r="O2">
        <v>6</v>
      </c>
    </row>
    <row r="3" spans="1:15" x14ac:dyDescent="0.25">
      <c r="A3" s="8" t="s">
        <v>38</v>
      </c>
      <c r="B3" s="8" t="s">
        <v>96</v>
      </c>
      <c r="C3">
        <v>1</v>
      </c>
      <c r="D3" t="s">
        <v>40</v>
      </c>
      <c r="E3" s="9">
        <v>-1</v>
      </c>
      <c r="F3" s="10">
        <v>400000</v>
      </c>
      <c r="G3" s="10">
        <v>2400000</v>
      </c>
      <c r="H3">
        <v>2.4</v>
      </c>
      <c r="I3">
        <v>2.4</v>
      </c>
      <c r="J3">
        <v>2.4</v>
      </c>
      <c r="K3">
        <v>2.4</v>
      </c>
      <c r="L3">
        <v>6</v>
      </c>
      <c r="M3">
        <v>6</v>
      </c>
      <c r="N3">
        <v>6</v>
      </c>
      <c r="O3">
        <v>6</v>
      </c>
    </row>
    <row r="4" spans="1:15" hidden="1" x14ac:dyDescent="0.25">
      <c r="A4" s="8" t="s">
        <v>38</v>
      </c>
      <c r="B4" s="8" t="s">
        <v>96</v>
      </c>
      <c r="C4">
        <v>2</v>
      </c>
      <c r="D4" t="s">
        <v>40</v>
      </c>
      <c r="E4" s="9">
        <f>2030-2026</f>
        <v>4</v>
      </c>
      <c r="F4" s="10">
        <v>8000000</v>
      </c>
      <c r="G4" s="10">
        <v>160000000</v>
      </c>
      <c r="H4">
        <v>2.4</v>
      </c>
      <c r="I4">
        <v>2.4</v>
      </c>
      <c r="J4">
        <v>2.4</v>
      </c>
      <c r="K4">
        <v>2.4</v>
      </c>
      <c r="L4">
        <v>6</v>
      </c>
      <c r="M4">
        <v>6</v>
      </c>
      <c r="N4">
        <v>6</v>
      </c>
      <c r="O4">
        <v>6</v>
      </c>
    </row>
    <row r="5" spans="1:15" x14ac:dyDescent="0.25">
      <c r="A5" s="8" t="s">
        <v>38</v>
      </c>
      <c r="B5" s="8" t="s">
        <v>97</v>
      </c>
      <c r="C5">
        <v>1</v>
      </c>
      <c r="D5" s="8" t="s">
        <v>40</v>
      </c>
      <c r="E5" s="9">
        <f>2030-2026</f>
        <v>4</v>
      </c>
      <c r="F5" s="10">
        <v>5000000</v>
      </c>
      <c r="G5" s="10">
        <v>400000000</v>
      </c>
      <c r="H5">
        <v>2.4</v>
      </c>
      <c r="I5">
        <v>2.4</v>
      </c>
      <c r="J5">
        <v>2.4</v>
      </c>
      <c r="K5">
        <v>2.4</v>
      </c>
      <c r="L5">
        <v>6</v>
      </c>
      <c r="M5">
        <v>6</v>
      </c>
      <c r="N5">
        <v>6</v>
      </c>
      <c r="O5">
        <v>6</v>
      </c>
    </row>
    <row r="6" spans="1:15" x14ac:dyDescent="0.25">
      <c r="A6" s="8" t="s">
        <v>38</v>
      </c>
      <c r="B6" s="8" t="s">
        <v>98</v>
      </c>
      <c r="C6">
        <v>1</v>
      </c>
      <c r="D6" s="8" t="s">
        <v>40</v>
      </c>
      <c r="E6" s="9">
        <f>2033-2026</f>
        <v>7</v>
      </c>
      <c r="F6" s="10">
        <v>3800000</v>
      </c>
      <c r="G6" s="10">
        <v>67000000</v>
      </c>
      <c r="H6">
        <v>2.4</v>
      </c>
      <c r="I6">
        <v>2.4</v>
      </c>
      <c r="J6">
        <v>2.4</v>
      </c>
      <c r="K6">
        <v>2.4</v>
      </c>
      <c r="L6">
        <v>6</v>
      </c>
      <c r="M6">
        <v>6</v>
      </c>
      <c r="N6">
        <v>6</v>
      </c>
      <c r="O6">
        <v>6</v>
      </c>
    </row>
    <row r="7" spans="1:15" x14ac:dyDescent="0.25">
      <c r="A7" s="8" t="s">
        <v>38</v>
      </c>
      <c r="B7" s="8" t="s">
        <v>99</v>
      </c>
      <c r="C7">
        <v>1</v>
      </c>
      <c r="D7" s="8" t="s">
        <v>40</v>
      </c>
      <c r="E7" s="9">
        <f>2028-2026</f>
        <v>2</v>
      </c>
      <c r="F7" s="10">
        <v>1700000</v>
      </c>
      <c r="G7" s="10">
        <v>43000000</v>
      </c>
      <c r="H7">
        <v>2.4</v>
      </c>
      <c r="I7">
        <v>2.4</v>
      </c>
      <c r="J7">
        <v>2.4</v>
      </c>
      <c r="K7">
        <v>2.4</v>
      </c>
      <c r="L7">
        <v>6</v>
      </c>
      <c r="M7">
        <v>6</v>
      </c>
      <c r="N7">
        <v>6</v>
      </c>
      <c r="O7">
        <v>6</v>
      </c>
    </row>
    <row r="8" spans="1:15" x14ac:dyDescent="0.25">
      <c r="A8" s="8" t="s">
        <v>38</v>
      </c>
      <c r="B8" s="8" t="s">
        <v>100</v>
      </c>
      <c r="C8">
        <v>1</v>
      </c>
      <c r="D8" t="s">
        <v>40</v>
      </c>
      <c r="E8" s="9">
        <f>2030-2026</f>
        <v>4</v>
      </c>
      <c r="F8" s="10">
        <v>5000000</v>
      </c>
      <c r="G8" s="10">
        <v>100000000</v>
      </c>
      <c r="H8">
        <v>2.4</v>
      </c>
      <c r="I8">
        <v>2.4</v>
      </c>
      <c r="J8">
        <v>2.4</v>
      </c>
      <c r="K8">
        <v>2.4</v>
      </c>
      <c r="L8">
        <v>6</v>
      </c>
      <c r="M8">
        <v>6</v>
      </c>
      <c r="N8">
        <v>6</v>
      </c>
      <c r="O8">
        <v>6</v>
      </c>
    </row>
    <row r="9" spans="1:15" x14ac:dyDescent="0.25">
      <c r="A9" s="8" t="s">
        <v>38</v>
      </c>
      <c r="B9" s="8" t="s">
        <v>101</v>
      </c>
      <c r="C9">
        <v>1</v>
      </c>
      <c r="D9" t="s">
        <v>40</v>
      </c>
      <c r="E9" s="9">
        <v>-1</v>
      </c>
      <c r="F9" s="10">
        <v>2500000</v>
      </c>
      <c r="G9" s="10">
        <v>37000000</v>
      </c>
      <c r="H9">
        <v>2.4</v>
      </c>
      <c r="I9">
        <v>2.4</v>
      </c>
      <c r="J9">
        <v>2.4</v>
      </c>
      <c r="K9">
        <v>2.4</v>
      </c>
      <c r="L9">
        <v>6</v>
      </c>
      <c r="M9">
        <v>6</v>
      </c>
      <c r="N9">
        <v>6</v>
      </c>
      <c r="O9">
        <v>6</v>
      </c>
    </row>
    <row r="10" spans="1:15" x14ac:dyDescent="0.25">
      <c r="A10" s="8" t="s">
        <v>38</v>
      </c>
      <c r="B10" s="8" t="s">
        <v>31</v>
      </c>
      <c r="C10">
        <v>1</v>
      </c>
      <c r="D10" t="s">
        <v>40</v>
      </c>
      <c r="E10" s="9">
        <f>2030-2026</f>
        <v>4</v>
      </c>
      <c r="F10" s="10">
        <v>1000000</v>
      </c>
      <c r="G10" s="10">
        <v>50000000</v>
      </c>
      <c r="H10">
        <v>2.4</v>
      </c>
      <c r="I10">
        <v>2.4</v>
      </c>
      <c r="J10">
        <v>2.4</v>
      </c>
      <c r="K10">
        <v>2.4</v>
      </c>
      <c r="L10">
        <v>6</v>
      </c>
      <c r="M10">
        <v>6</v>
      </c>
      <c r="N10">
        <v>6</v>
      </c>
      <c r="O10">
        <v>6</v>
      </c>
    </row>
    <row r="11" spans="1:15" x14ac:dyDescent="0.25">
      <c r="A11" s="8" t="s">
        <v>38</v>
      </c>
      <c r="B11" s="8" t="s">
        <v>32</v>
      </c>
      <c r="C11">
        <v>1</v>
      </c>
      <c r="D11" t="s">
        <v>40</v>
      </c>
      <c r="E11" s="9">
        <f>2030-2026</f>
        <v>4</v>
      </c>
      <c r="F11" s="10">
        <v>1500000</v>
      </c>
      <c r="G11" s="10">
        <v>30000000</v>
      </c>
      <c r="H11">
        <v>2.4</v>
      </c>
      <c r="I11">
        <v>2.4</v>
      </c>
      <c r="J11">
        <v>2.4</v>
      </c>
      <c r="K11">
        <v>2.4</v>
      </c>
      <c r="L11">
        <v>6</v>
      </c>
      <c r="M11">
        <v>6</v>
      </c>
      <c r="N11">
        <v>6</v>
      </c>
      <c r="O11">
        <v>6</v>
      </c>
    </row>
    <row r="12" spans="1:15" x14ac:dyDescent="0.25">
      <c r="A12" s="8" t="s">
        <v>38</v>
      </c>
      <c r="B12" s="8" t="s">
        <v>33</v>
      </c>
      <c r="C12">
        <v>1</v>
      </c>
      <c r="D12" t="s">
        <v>40</v>
      </c>
      <c r="E12" s="9">
        <f>2030-2026</f>
        <v>4</v>
      </c>
      <c r="F12" s="10">
        <v>1000000</v>
      </c>
      <c r="G12" s="10">
        <v>20000000</v>
      </c>
      <c r="H12">
        <v>2.4</v>
      </c>
      <c r="I12">
        <v>2.4</v>
      </c>
      <c r="J12">
        <v>2.4</v>
      </c>
      <c r="K12">
        <v>2.4</v>
      </c>
      <c r="L12">
        <v>6</v>
      </c>
      <c r="M12">
        <v>6</v>
      </c>
      <c r="N12">
        <v>6</v>
      </c>
      <c r="O12">
        <v>6</v>
      </c>
    </row>
    <row r="13" spans="1:15" x14ac:dyDescent="0.25">
      <c r="A13" s="8" t="s">
        <v>38</v>
      </c>
      <c r="B13" s="8" t="s">
        <v>102</v>
      </c>
      <c r="C13">
        <v>1</v>
      </c>
      <c r="D13" t="s">
        <v>40</v>
      </c>
      <c r="E13" s="9">
        <v>-1</v>
      </c>
      <c r="F13" s="10">
        <v>250000</v>
      </c>
      <c r="G13" s="10">
        <v>2000000</v>
      </c>
      <c r="H13">
        <v>2.4</v>
      </c>
      <c r="I13">
        <v>2.4</v>
      </c>
      <c r="J13">
        <v>2.4</v>
      </c>
      <c r="K13">
        <v>2.4</v>
      </c>
      <c r="L13">
        <v>6</v>
      </c>
      <c r="M13">
        <v>6</v>
      </c>
      <c r="N13">
        <v>6</v>
      </c>
      <c r="O13">
        <v>6</v>
      </c>
    </row>
    <row r="14" spans="1:15" hidden="1" x14ac:dyDescent="0.25">
      <c r="A14" s="8" t="s">
        <v>38</v>
      </c>
      <c r="B14" s="8" t="s">
        <v>102</v>
      </c>
      <c r="C14">
        <v>2</v>
      </c>
      <c r="D14" t="s">
        <v>40</v>
      </c>
      <c r="E14" s="9">
        <f>2030-2026</f>
        <v>4</v>
      </c>
      <c r="F14" s="10">
        <v>4000000</v>
      </c>
      <c r="G14" s="10">
        <v>498000000</v>
      </c>
      <c r="H14">
        <v>2.4</v>
      </c>
      <c r="I14">
        <v>2.4</v>
      </c>
      <c r="J14">
        <v>2.4</v>
      </c>
      <c r="K14">
        <v>2.4</v>
      </c>
      <c r="L14">
        <v>6</v>
      </c>
      <c r="M14">
        <v>6</v>
      </c>
      <c r="N14">
        <v>6</v>
      </c>
      <c r="O14">
        <v>6</v>
      </c>
    </row>
    <row r="15" spans="1:15" x14ac:dyDescent="0.25">
      <c r="A15" s="8" t="s">
        <v>38</v>
      </c>
      <c r="B15" s="8" t="s">
        <v>103</v>
      </c>
      <c r="C15">
        <v>1</v>
      </c>
      <c r="D15" t="s">
        <v>40</v>
      </c>
      <c r="E15" s="9">
        <f>2028-2026</f>
        <v>2</v>
      </c>
      <c r="F15" s="10">
        <v>1000000</v>
      </c>
      <c r="G15" s="10">
        <v>32000000</v>
      </c>
      <c r="H15">
        <v>2.4</v>
      </c>
      <c r="I15">
        <v>2.4</v>
      </c>
      <c r="J15">
        <v>2.4</v>
      </c>
      <c r="K15">
        <v>2.4</v>
      </c>
      <c r="L15">
        <v>6</v>
      </c>
      <c r="M15">
        <v>6</v>
      </c>
      <c r="N15">
        <v>6</v>
      </c>
      <c r="O15">
        <v>6</v>
      </c>
    </row>
    <row r="16" spans="1:15" hidden="1" x14ac:dyDescent="0.25">
      <c r="A16" s="8" t="s">
        <v>38</v>
      </c>
      <c r="B16" s="8" t="s">
        <v>103</v>
      </c>
      <c r="C16">
        <v>2</v>
      </c>
      <c r="D16" t="s">
        <v>40</v>
      </c>
      <c r="E16" s="9">
        <f>2030-2026</f>
        <v>4</v>
      </c>
      <c r="F16" s="10">
        <v>1800000</v>
      </c>
      <c r="G16" s="10">
        <v>34200000</v>
      </c>
      <c r="H16">
        <v>2.4</v>
      </c>
      <c r="I16">
        <v>2.4</v>
      </c>
      <c r="J16">
        <v>2.4</v>
      </c>
      <c r="K16">
        <v>2.4</v>
      </c>
      <c r="L16">
        <v>6</v>
      </c>
      <c r="M16">
        <v>6</v>
      </c>
      <c r="N16">
        <v>6</v>
      </c>
      <c r="O16">
        <v>6</v>
      </c>
    </row>
    <row r="17" spans="1:15" x14ac:dyDescent="0.25">
      <c r="A17" s="8" t="s">
        <v>38</v>
      </c>
      <c r="B17" s="8" t="s">
        <v>104</v>
      </c>
      <c r="C17">
        <v>1</v>
      </c>
      <c r="D17" t="s">
        <v>39</v>
      </c>
      <c r="E17" s="9">
        <f>2030-2026</f>
        <v>4</v>
      </c>
      <c r="F17" s="10">
        <v>12000000</v>
      </c>
      <c r="G17" s="10">
        <v>360000000</v>
      </c>
      <c r="H17">
        <v>4.2249999999999996</v>
      </c>
      <c r="I17">
        <v>4.2249999999999996</v>
      </c>
      <c r="J17">
        <v>4.2249999999999996</v>
      </c>
      <c r="K17">
        <v>4.2249999999999996</v>
      </c>
      <c r="L17">
        <v>6</v>
      </c>
      <c r="M17">
        <v>6</v>
      </c>
      <c r="N17">
        <v>6</v>
      </c>
      <c r="O17">
        <v>6</v>
      </c>
    </row>
    <row r="18" spans="1:15" x14ac:dyDescent="0.25">
      <c r="A18" s="8" t="s">
        <v>38</v>
      </c>
      <c r="B18" s="8" t="s">
        <v>105</v>
      </c>
      <c r="C18">
        <v>1</v>
      </c>
      <c r="D18" t="s">
        <v>39</v>
      </c>
      <c r="E18" s="9">
        <f>2029-2026</f>
        <v>3</v>
      </c>
      <c r="F18" s="10">
        <v>10000000</v>
      </c>
      <c r="G18" s="10">
        <v>250000000</v>
      </c>
      <c r="H18">
        <v>4.2249999999999996</v>
      </c>
      <c r="I18">
        <v>4.2249999999999996</v>
      </c>
      <c r="J18">
        <v>4.2249999999999996</v>
      </c>
      <c r="K18">
        <v>4.2249999999999996</v>
      </c>
      <c r="L18">
        <v>6</v>
      </c>
      <c r="M18">
        <v>6</v>
      </c>
      <c r="N18">
        <v>6</v>
      </c>
      <c r="O18">
        <v>6</v>
      </c>
    </row>
    <row r="19" spans="1:15" x14ac:dyDescent="0.25">
      <c r="A19" s="8" t="s">
        <v>38</v>
      </c>
      <c r="B19" s="8" t="s">
        <v>34</v>
      </c>
      <c r="C19">
        <v>1</v>
      </c>
      <c r="D19" t="s">
        <v>39</v>
      </c>
      <c r="E19" s="9">
        <f>2031-2026</f>
        <v>5</v>
      </c>
      <c r="F19" s="10">
        <v>2000000</v>
      </c>
      <c r="G19" s="10">
        <v>54000000</v>
      </c>
      <c r="H19">
        <v>4.2249999999999996</v>
      </c>
      <c r="I19">
        <v>4.2249999999999996</v>
      </c>
      <c r="J19">
        <v>4.2249999999999996</v>
      </c>
      <c r="K19">
        <v>4.2249999999999996</v>
      </c>
      <c r="L19">
        <v>6</v>
      </c>
      <c r="M19">
        <v>6</v>
      </c>
      <c r="N19">
        <v>6</v>
      </c>
      <c r="O19">
        <v>6</v>
      </c>
    </row>
    <row r="20" spans="1:15" x14ac:dyDescent="0.25">
      <c r="A20" s="8" t="s">
        <v>38</v>
      </c>
      <c r="B20" s="8" t="s">
        <v>106</v>
      </c>
      <c r="C20">
        <v>1</v>
      </c>
      <c r="D20" t="s">
        <v>39</v>
      </c>
      <c r="E20" s="9">
        <f>2031-2026</f>
        <v>5</v>
      </c>
      <c r="F20" s="10">
        <v>4099999.9999999995</v>
      </c>
      <c r="G20" s="10">
        <v>122999999.99999999</v>
      </c>
      <c r="H20">
        <v>4.2249999999999996</v>
      </c>
      <c r="I20">
        <v>4.2249999999999996</v>
      </c>
      <c r="J20">
        <v>4.2249999999999996</v>
      </c>
      <c r="K20">
        <v>4.2249999999999996</v>
      </c>
      <c r="L20">
        <v>6</v>
      </c>
      <c r="M20">
        <v>6</v>
      </c>
      <c r="N20">
        <v>6</v>
      </c>
      <c r="O20">
        <v>6</v>
      </c>
    </row>
    <row r="21" spans="1:15" x14ac:dyDescent="0.25">
      <c r="A21" s="8" t="s">
        <v>38</v>
      </c>
      <c r="B21" s="8" t="s">
        <v>36</v>
      </c>
      <c r="C21">
        <v>1</v>
      </c>
      <c r="D21" t="s">
        <v>42</v>
      </c>
      <c r="E21">
        <f>2032-2026</f>
        <v>6</v>
      </c>
      <c r="F21" s="10">
        <v>1200000</v>
      </c>
      <c r="G21" s="10">
        <v>12000000</v>
      </c>
      <c r="H21">
        <v>1.7</v>
      </c>
      <c r="I21">
        <v>1.7</v>
      </c>
      <c r="J21">
        <v>1.7</v>
      </c>
      <c r="K21">
        <v>1.7</v>
      </c>
      <c r="L21">
        <v>4</v>
      </c>
      <c r="M21">
        <v>4</v>
      </c>
      <c r="N21">
        <v>4</v>
      </c>
      <c r="O21">
        <v>4</v>
      </c>
    </row>
    <row r="22" spans="1:15" x14ac:dyDescent="0.25">
      <c r="A22" s="8" t="s">
        <v>38</v>
      </c>
      <c r="B22" s="8" t="s">
        <v>107</v>
      </c>
      <c r="C22">
        <v>1</v>
      </c>
      <c r="D22" t="s">
        <v>42</v>
      </c>
      <c r="E22" s="9">
        <f>2029-2026</f>
        <v>3</v>
      </c>
      <c r="F22" s="10">
        <v>600000</v>
      </c>
      <c r="G22" s="10">
        <v>12000000</v>
      </c>
      <c r="H22">
        <v>1.7</v>
      </c>
      <c r="I22">
        <v>1.7</v>
      </c>
      <c r="J22">
        <v>1.7</v>
      </c>
      <c r="K22">
        <v>1.7</v>
      </c>
      <c r="L22">
        <v>4</v>
      </c>
      <c r="M22">
        <v>4</v>
      </c>
      <c r="N22">
        <v>4</v>
      </c>
      <c r="O22">
        <v>4</v>
      </c>
    </row>
    <row r="23" spans="1:15" x14ac:dyDescent="0.25">
      <c r="A23" s="8" t="s">
        <v>38</v>
      </c>
      <c r="B23" s="8" t="s">
        <v>108</v>
      </c>
      <c r="C23">
        <v>1</v>
      </c>
      <c r="D23" t="s">
        <v>42</v>
      </c>
      <c r="E23" s="9">
        <f>2029-2026</f>
        <v>3</v>
      </c>
      <c r="F23" s="10">
        <v>1500000</v>
      </c>
      <c r="G23" s="10">
        <v>20000000</v>
      </c>
      <c r="H23">
        <v>1.7</v>
      </c>
      <c r="I23">
        <v>1.7</v>
      </c>
      <c r="J23">
        <v>1.7</v>
      </c>
      <c r="K23">
        <v>1.7</v>
      </c>
      <c r="L23">
        <v>4</v>
      </c>
      <c r="M23">
        <v>4</v>
      </c>
      <c r="N23">
        <v>4</v>
      </c>
      <c r="O23">
        <v>4</v>
      </c>
    </row>
    <row r="24" spans="1:15" x14ac:dyDescent="0.25">
      <c r="A24" s="8" t="s">
        <v>38</v>
      </c>
      <c r="B24" s="8" t="s">
        <v>109</v>
      </c>
      <c r="C24">
        <v>1</v>
      </c>
      <c r="D24" t="s">
        <v>42</v>
      </c>
      <c r="E24">
        <f>2034-2026</f>
        <v>8</v>
      </c>
      <c r="F24" s="10">
        <v>800000</v>
      </c>
      <c r="G24" s="10">
        <v>20000000</v>
      </c>
      <c r="H24">
        <v>1.7</v>
      </c>
      <c r="I24">
        <v>1.7</v>
      </c>
      <c r="J24">
        <v>1.7</v>
      </c>
      <c r="K24">
        <v>1.7</v>
      </c>
      <c r="L24">
        <v>4</v>
      </c>
      <c r="M24">
        <v>4</v>
      </c>
      <c r="N24">
        <v>4</v>
      </c>
      <c r="O24">
        <v>4</v>
      </c>
    </row>
    <row r="25" spans="1:15" x14ac:dyDescent="0.25">
      <c r="A25" s="8" t="s">
        <v>38</v>
      </c>
      <c r="B25" s="8" t="s">
        <v>110</v>
      </c>
      <c r="C25">
        <v>1</v>
      </c>
      <c r="D25" t="s">
        <v>41</v>
      </c>
      <c r="E25" s="9">
        <f>2030-2026</f>
        <v>4</v>
      </c>
      <c r="F25" s="10">
        <v>1000000</v>
      </c>
      <c r="G25" s="10">
        <v>10000000</v>
      </c>
      <c r="H25">
        <v>2.2250000000000001</v>
      </c>
      <c r="I25">
        <v>2.2250000000000001</v>
      </c>
      <c r="J25">
        <v>2.2250000000000001</v>
      </c>
      <c r="K25">
        <v>2.2250000000000001</v>
      </c>
      <c r="L25">
        <v>4</v>
      </c>
      <c r="M25">
        <v>4</v>
      </c>
      <c r="N25">
        <v>4</v>
      </c>
      <c r="O25">
        <v>4</v>
      </c>
    </row>
    <row r="26" spans="1:15" hidden="1" x14ac:dyDescent="0.25">
      <c r="A26" s="8" t="s">
        <v>38</v>
      </c>
      <c r="B26" s="8" t="s">
        <v>110</v>
      </c>
      <c r="C26">
        <v>2</v>
      </c>
      <c r="D26" t="s">
        <v>41</v>
      </c>
      <c r="E26" s="9">
        <v>8</v>
      </c>
      <c r="F26" s="10">
        <v>9000000</v>
      </c>
      <c r="G26" s="10">
        <v>90000000</v>
      </c>
      <c r="H26">
        <v>2.2250000000000001</v>
      </c>
      <c r="I26">
        <v>2.2250000000000001</v>
      </c>
      <c r="J26">
        <v>2.2250000000000001</v>
      </c>
      <c r="K26">
        <v>2.2250000000000001</v>
      </c>
      <c r="L26">
        <v>4</v>
      </c>
      <c r="M26">
        <v>4</v>
      </c>
      <c r="N26">
        <v>4</v>
      </c>
      <c r="O26">
        <v>4</v>
      </c>
    </row>
    <row r="27" spans="1:15" x14ac:dyDescent="0.25">
      <c r="A27" s="8" t="s">
        <v>38</v>
      </c>
      <c r="B27" s="8" t="s">
        <v>43</v>
      </c>
      <c r="C27">
        <v>1</v>
      </c>
      <c r="D27" t="s">
        <v>41</v>
      </c>
      <c r="E27" s="9">
        <f>2031-2026</f>
        <v>5</v>
      </c>
      <c r="F27" s="10">
        <v>630000</v>
      </c>
      <c r="G27" s="10">
        <v>15770000</v>
      </c>
      <c r="H27">
        <v>2.2250000000000001</v>
      </c>
      <c r="I27">
        <v>2.2250000000000001</v>
      </c>
      <c r="J27">
        <v>2.2250000000000001</v>
      </c>
      <c r="K27">
        <v>2.2250000000000001</v>
      </c>
      <c r="L27">
        <v>4</v>
      </c>
      <c r="M27">
        <v>4</v>
      </c>
      <c r="N27">
        <v>4</v>
      </c>
      <c r="O27">
        <v>4</v>
      </c>
    </row>
    <row r="28" spans="1:15" x14ac:dyDescent="0.25">
      <c r="A28" s="8" t="s">
        <v>38</v>
      </c>
      <c r="B28" s="8" t="s">
        <v>35</v>
      </c>
      <c r="C28">
        <v>1</v>
      </c>
      <c r="D28" t="s">
        <v>41</v>
      </c>
      <c r="E28" s="9">
        <f>2029-2026</f>
        <v>3</v>
      </c>
      <c r="F28" s="10">
        <v>750000</v>
      </c>
      <c r="G28" s="10">
        <v>15800000</v>
      </c>
      <c r="H28">
        <v>2.2250000000000001</v>
      </c>
      <c r="I28">
        <v>2.2250000000000001</v>
      </c>
      <c r="J28">
        <v>2.2250000000000001</v>
      </c>
      <c r="K28">
        <v>2.2250000000000001</v>
      </c>
      <c r="L28">
        <v>4</v>
      </c>
      <c r="M28">
        <v>4</v>
      </c>
      <c r="N28">
        <v>4</v>
      </c>
      <c r="O28">
        <v>4</v>
      </c>
    </row>
    <row r="29" spans="1:15" x14ac:dyDescent="0.25">
      <c r="A29" s="8" t="s">
        <v>38</v>
      </c>
      <c r="B29" s="8" t="s">
        <v>44</v>
      </c>
      <c r="C29">
        <v>1</v>
      </c>
      <c r="D29" t="s">
        <v>41</v>
      </c>
      <c r="E29">
        <f>2027-2026</f>
        <v>1</v>
      </c>
      <c r="F29" s="10">
        <v>500000</v>
      </c>
      <c r="G29" s="10">
        <v>5600000</v>
      </c>
      <c r="H29">
        <v>2.2250000000000001</v>
      </c>
      <c r="I29">
        <v>2.2250000000000001</v>
      </c>
      <c r="J29">
        <v>2.2250000000000001</v>
      </c>
      <c r="K29">
        <v>2.2250000000000001</v>
      </c>
      <c r="L29">
        <v>4</v>
      </c>
      <c r="M29">
        <v>4</v>
      </c>
      <c r="N29">
        <v>4</v>
      </c>
      <c r="O29">
        <v>4</v>
      </c>
    </row>
    <row r="30" spans="1:15" x14ac:dyDescent="0.25">
      <c r="A30" s="8" t="s">
        <v>38</v>
      </c>
      <c r="B30" s="8" t="s">
        <v>37</v>
      </c>
      <c r="C30">
        <v>1</v>
      </c>
      <c r="D30" t="s">
        <v>41</v>
      </c>
      <c r="E30">
        <v>9</v>
      </c>
      <c r="F30" s="10">
        <v>800000</v>
      </c>
      <c r="G30" s="10">
        <v>16000000</v>
      </c>
      <c r="H30">
        <v>2.2250000000000001</v>
      </c>
      <c r="I30">
        <v>2.2250000000000001</v>
      </c>
      <c r="J30">
        <v>2.2250000000000001</v>
      </c>
      <c r="K30">
        <v>2.2250000000000001</v>
      </c>
      <c r="L30">
        <v>4</v>
      </c>
      <c r="M30">
        <v>4</v>
      </c>
      <c r="N30">
        <v>4</v>
      </c>
      <c r="O30">
        <v>4</v>
      </c>
    </row>
    <row r="31" spans="1:15" x14ac:dyDescent="0.25">
      <c r="A31" t="s">
        <v>29</v>
      </c>
      <c r="B31" s="8" t="s">
        <v>111</v>
      </c>
      <c r="C31">
        <v>1</v>
      </c>
      <c r="D31" s="8" t="s">
        <v>39</v>
      </c>
      <c r="E31" s="9">
        <f>2027-2026</f>
        <v>1</v>
      </c>
      <c r="F31" s="10">
        <v>7000000</v>
      </c>
      <c r="G31" s="10">
        <v>42750000</v>
      </c>
      <c r="H31">
        <v>4.2249999999999996</v>
      </c>
      <c r="I31">
        <v>4.2249999999999996</v>
      </c>
      <c r="J31">
        <v>4.2249999999999996</v>
      </c>
      <c r="K31">
        <v>4.2249999999999996</v>
      </c>
      <c r="L31">
        <v>6</v>
      </c>
      <c r="M31">
        <v>6</v>
      </c>
      <c r="N31">
        <v>6</v>
      </c>
      <c r="O31">
        <v>6</v>
      </c>
    </row>
    <row r="32" spans="1:15" hidden="1" x14ac:dyDescent="0.25">
      <c r="A32" t="s">
        <v>29</v>
      </c>
      <c r="B32" s="8" t="s">
        <v>111</v>
      </c>
      <c r="C32">
        <v>2</v>
      </c>
      <c r="D32" s="8" t="s">
        <v>39</v>
      </c>
      <c r="E32" s="9">
        <f>2037-2026</f>
        <v>11</v>
      </c>
      <c r="F32" s="10">
        <v>10000000</v>
      </c>
      <c r="G32" s="10">
        <v>150000000</v>
      </c>
      <c r="H32">
        <v>4.2249999999999996</v>
      </c>
      <c r="I32">
        <v>4.2249999999999996</v>
      </c>
      <c r="J32">
        <v>4.2249999999999996</v>
      </c>
      <c r="K32">
        <v>4.2249999999999996</v>
      </c>
      <c r="L32">
        <v>6</v>
      </c>
      <c r="M32">
        <v>6</v>
      </c>
      <c r="N32">
        <v>6</v>
      </c>
      <c r="O32">
        <v>6</v>
      </c>
    </row>
    <row r="33" spans="1:15" x14ac:dyDescent="0.25">
      <c r="A33" t="s">
        <v>29</v>
      </c>
      <c r="B33" s="8" t="s">
        <v>112</v>
      </c>
      <c r="C33">
        <v>1</v>
      </c>
      <c r="D33" s="8" t="s">
        <v>39</v>
      </c>
      <c r="E33" s="9">
        <v>-1</v>
      </c>
      <c r="F33" s="10">
        <v>1500000</v>
      </c>
      <c r="G33" s="10">
        <v>37500000</v>
      </c>
      <c r="H33">
        <v>4.2249999999999996</v>
      </c>
      <c r="I33">
        <v>4.2249999999999996</v>
      </c>
      <c r="J33">
        <v>4.2249999999999996</v>
      </c>
      <c r="K33">
        <v>4.2249999999999996</v>
      </c>
      <c r="L33">
        <v>6</v>
      </c>
      <c r="M33">
        <v>6</v>
      </c>
      <c r="N33">
        <v>6</v>
      </c>
      <c r="O33">
        <v>6</v>
      </c>
    </row>
    <row r="34" spans="1:15" hidden="1" x14ac:dyDescent="0.25">
      <c r="A34" t="s">
        <v>29</v>
      </c>
      <c r="B34" s="8" t="s">
        <v>112</v>
      </c>
      <c r="C34">
        <v>2</v>
      </c>
      <c r="D34" s="8" t="s">
        <v>39</v>
      </c>
      <c r="E34" s="9">
        <f>2028-2026</f>
        <v>2</v>
      </c>
      <c r="F34" s="10">
        <v>3500000</v>
      </c>
      <c r="G34" s="10">
        <v>87500000</v>
      </c>
      <c r="H34">
        <v>4.2249999999999996</v>
      </c>
      <c r="I34">
        <v>4.2249999999999996</v>
      </c>
      <c r="J34">
        <v>4.2249999999999996</v>
      </c>
      <c r="K34">
        <v>4.2249999999999996</v>
      </c>
      <c r="L34">
        <v>6</v>
      </c>
      <c r="M34">
        <v>6</v>
      </c>
      <c r="N34">
        <v>6</v>
      </c>
      <c r="O34">
        <v>6</v>
      </c>
    </row>
    <row r="35" spans="1:15" x14ac:dyDescent="0.25">
      <c r="A35" t="s">
        <v>29</v>
      </c>
      <c r="B35" s="8" t="s">
        <v>113</v>
      </c>
      <c r="C35">
        <v>1</v>
      </c>
      <c r="D35" s="8" t="s">
        <v>39</v>
      </c>
      <c r="E35" s="9">
        <f>2032-2026</f>
        <v>6</v>
      </c>
      <c r="F35" s="10">
        <v>20000000</v>
      </c>
      <c r="G35" s="10">
        <v>500000000</v>
      </c>
      <c r="H35">
        <v>4.2249999999999996</v>
      </c>
      <c r="I35">
        <v>4.2249999999999996</v>
      </c>
      <c r="J35">
        <v>4.2249999999999996</v>
      </c>
      <c r="K35">
        <v>4.2249999999999996</v>
      </c>
      <c r="L35">
        <v>6</v>
      </c>
      <c r="M35">
        <v>6</v>
      </c>
      <c r="N35">
        <v>6</v>
      </c>
      <c r="O35">
        <v>6</v>
      </c>
    </row>
    <row r="36" spans="1:15" x14ac:dyDescent="0.25">
      <c r="A36" t="s">
        <v>29</v>
      </c>
      <c r="B36" s="8" t="s">
        <v>114</v>
      </c>
      <c r="C36">
        <v>1</v>
      </c>
      <c r="D36" s="8" t="s">
        <v>39</v>
      </c>
      <c r="E36" s="9">
        <f>2034-2026</f>
        <v>8</v>
      </c>
      <c r="F36" s="10">
        <v>5000000</v>
      </c>
      <c r="G36" s="10">
        <v>200000000</v>
      </c>
      <c r="H36">
        <v>4.2249999999999996</v>
      </c>
      <c r="I36">
        <v>4.2249999999999996</v>
      </c>
      <c r="J36">
        <v>4.2249999999999996</v>
      </c>
      <c r="K36">
        <v>4.2249999999999996</v>
      </c>
      <c r="L36">
        <v>6</v>
      </c>
      <c r="M36">
        <v>6</v>
      </c>
      <c r="N36">
        <v>6</v>
      </c>
      <c r="O36">
        <v>6</v>
      </c>
    </row>
    <row r="37" spans="1:15" x14ac:dyDescent="0.25">
      <c r="A37" t="s">
        <v>29</v>
      </c>
      <c r="B37" s="8" t="s">
        <v>115</v>
      </c>
      <c r="C37">
        <v>1</v>
      </c>
      <c r="D37" s="8" t="s">
        <v>39</v>
      </c>
      <c r="E37" s="9">
        <f>2029-2026</f>
        <v>3</v>
      </c>
      <c r="F37" s="10">
        <v>10000000</v>
      </c>
      <c r="G37" s="10">
        <v>300000000</v>
      </c>
      <c r="H37">
        <v>4.2249999999999996</v>
      </c>
      <c r="I37">
        <v>4.2249999999999996</v>
      </c>
      <c r="J37">
        <v>4.2249999999999996</v>
      </c>
      <c r="K37">
        <v>4.2249999999999996</v>
      </c>
      <c r="L37">
        <v>6</v>
      </c>
      <c r="M37">
        <v>6</v>
      </c>
      <c r="N37">
        <v>6</v>
      </c>
      <c r="O37">
        <v>6</v>
      </c>
    </row>
    <row r="38" spans="1:15" x14ac:dyDescent="0.25">
      <c r="A38" t="s">
        <v>29</v>
      </c>
      <c r="B38" s="8" t="s">
        <v>116</v>
      </c>
      <c r="C38">
        <v>1</v>
      </c>
      <c r="D38" s="8" t="s">
        <v>39</v>
      </c>
      <c r="E38" s="9">
        <v>3</v>
      </c>
      <c r="F38" s="10">
        <v>5000000</v>
      </c>
      <c r="G38" s="10">
        <v>100000000</v>
      </c>
      <c r="H38">
        <v>4.2249999999999996</v>
      </c>
      <c r="I38">
        <v>4.2249999999999996</v>
      </c>
      <c r="J38">
        <v>4.2249999999999996</v>
      </c>
      <c r="K38">
        <v>4.2249999999999996</v>
      </c>
      <c r="L38">
        <v>6</v>
      </c>
      <c r="M38">
        <v>6</v>
      </c>
      <c r="N38">
        <v>6</v>
      </c>
      <c r="O38">
        <v>6</v>
      </c>
    </row>
    <row r="39" spans="1:15" x14ac:dyDescent="0.25">
      <c r="A39" t="s">
        <v>29</v>
      </c>
      <c r="B39" s="8" t="s">
        <v>117</v>
      </c>
      <c r="C39">
        <v>1</v>
      </c>
      <c r="D39" s="8" t="s">
        <v>39</v>
      </c>
      <c r="E39" s="9">
        <f>2030-2026</f>
        <v>4</v>
      </c>
      <c r="F39" s="10">
        <v>6000000</v>
      </c>
      <c r="G39" s="10">
        <v>120000000</v>
      </c>
      <c r="H39">
        <v>4.2249999999999996</v>
      </c>
      <c r="I39">
        <v>4.2249999999999996</v>
      </c>
      <c r="J39">
        <v>4.2249999999999996</v>
      </c>
      <c r="K39">
        <v>4.2249999999999996</v>
      </c>
      <c r="L39">
        <v>6</v>
      </c>
      <c r="M39">
        <v>6</v>
      </c>
      <c r="N39">
        <v>6</v>
      </c>
      <c r="O39">
        <v>6</v>
      </c>
    </row>
    <row r="40" spans="1:15" x14ac:dyDescent="0.25">
      <c r="A40" t="s">
        <v>30</v>
      </c>
      <c r="B40" s="8" t="s">
        <v>118</v>
      </c>
      <c r="C40">
        <v>1</v>
      </c>
      <c r="D40" s="8" t="s">
        <v>40</v>
      </c>
      <c r="E40" s="9">
        <f>2027-2026</f>
        <v>1</v>
      </c>
      <c r="F40" s="10">
        <v>20000000</v>
      </c>
      <c r="G40" s="10">
        <v>330000000</v>
      </c>
      <c r="H40">
        <v>2.4</v>
      </c>
      <c r="I40">
        <v>2.4</v>
      </c>
      <c r="J40">
        <v>2.4</v>
      </c>
      <c r="K40">
        <v>2.4</v>
      </c>
      <c r="L40">
        <v>6</v>
      </c>
      <c r="M40">
        <v>6</v>
      </c>
      <c r="N40">
        <v>6</v>
      </c>
      <c r="O40">
        <v>6</v>
      </c>
    </row>
    <row r="41" spans="1:15" x14ac:dyDescent="0.25">
      <c r="A41" t="s">
        <v>30</v>
      </c>
      <c r="B41" s="8" t="s">
        <v>126</v>
      </c>
      <c r="C41">
        <v>1</v>
      </c>
      <c r="D41" s="8" t="s">
        <v>40</v>
      </c>
      <c r="E41" s="9">
        <f>2030-2026</f>
        <v>4</v>
      </c>
      <c r="F41" s="10">
        <v>10000000</v>
      </c>
      <c r="G41" s="10">
        <v>150000000</v>
      </c>
      <c r="H41">
        <v>2.4</v>
      </c>
      <c r="I41">
        <v>2.4</v>
      </c>
      <c r="J41">
        <v>2.4</v>
      </c>
      <c r="K41">
        <v>2.4</v>
      </c>
      <c r="L41">
        <v>6</v>
      </c>
      <c r="M41">
        <v>6</v>
      </c>
      <c r="N41">
        <v>6</v>
      </c>
      <c r="O41">
        <v>6</v>
      </c>
    </row>
    <row r="42" spans="1:15" x14ac:dyDescent="0.25">
      <c r="A42" t="s">
        <v>30</v>
      </c>
      <c r="B42" s="8" t="s">
        <v>119</v>
      </c>
      <c r="C42">
        <v>1</v>
      </c>
      <c r="D42" s="8" t="s">
        <v>40</v>
      </c>
      <c r="E42" s="9">
        <f>2028-2026</f>
        <v>2</v>
      </c>
      <c r="F42" s="10">
        <v>4500000</v>
      </c>
      <c r="G42" s="10">
        <v>135000000</v>
      </c>
      <c r="H42">
        <v>2.4</v>
      </c>
      <c r="I42">
        <v>2.4</v>
      </c>
      <c r="J42">
        <v>2.4</v>
      </c>
      <c r="K42">
        <v>2.4</v>
      </c>
      <c r="L42">
        <v>6</v>
      </c>
      <c r="M42">
        <v>6</v>
      </c>
      <c r="N42">
        <v>6</v>
      </c>
      <c r="O42">
        <v>6</v>
      </c>
    </row>
    <row r="43" spans="1:15" hidden="1" x14ac:dyDescent="0.25">
      <c r="A43" t="s">
        <v>30</v>
      </c>
      <c r="B43" s="8" t="s">
        <v>119</v>
      </c>
      <c r="C43">
        <v>2</v>
      </c>
      <c r="D43" s="8" t="s">
        <v>40</v>
      </c>
      <c r="E43" s="9">
        <f>2035-2026</f>
        <v>9</v>
      </c>
      <c r="F43" s="10">
        <v>5500000</v>
      </c>
      <c r="G43" s="10">
        <v>55000000</v>
      </c>
      <c r="H43">
        <v>2.4</v>
      </c>
      <c r="I43">
        <v>2.4</v>
      </c>
      <c r="J43">
        <v>2.4</v>
      </c>
      <c r="K43">
        <v>2.4</v>
      </c>
      <c r="L43">
        <v>6</v>
      </c>
      <c r="M43">
        <v>6</v>
      </c>
      <c r="N43">
        <v>6</v>
      </c>
      <c r="O43">
        <v>6</v>
      </c>
    </row>
    <row r="44" spans="1:15" x14ac:dyDescent="0.25">
      <c r="A44" t="s">
        <v>30</v>
      </c>
      <c r="B44" s="8" t="s">
        <v>120</v>
      </c>
      <c r="C44">
        <v>1</v>
      </c>
      <c r="D44" s="8" t="s">
        <v>40</v>
      </c>
      <c r="E44" s="9">
        <f>2027-2026</f>
        <v>1</v>
      </c>
      <c r="F44" s="10">
        <v>3600000</v>
      </c>
      <c r="G44" s="10">
        <v>72000000</v>
      </c>
      <c r="H44">
        <v>2.4</v>
      </c>
      <c r="I44">
        <v>2.4</v>
      </c>
      <c r="J44">
        <v>2.4</v>
      </c>
      <c r="K44">
        <v>2.4</v>
      </c>
      <c r="L44">
        <v>6</v>
      </c>
      <c r="M44">
        <v>6</v>
      </c>
      <c r="N44">
        <v>6</v>
      </c>
      <c r="O44">
        <v>6</v>
      </c>
    </row>
    <row r="45" spans="1:15" hidden="1" x14ac:dyDescent="0.25">
      <c r="A45" t="s">
        <v>30</v>
      </c>
      <c r="B45" s="8" t="s">
        <v>120</v>
      </c>
      <c r="C45">
        <v>2</v>
      </c>
      <c r="D45" s="8" t="s">
        <v>40</v>
      </c>
      <c r="E45" s="9">
        <f>2030-2026</f>
        <v>4</v>
      </c>
      <c r="F45" s="10">
        <v>6400000</v>
      </c>
      <c r="G45" s="10">
        <v>128000000</v>
      </c>
      <c r="H45">
        <v>2.4</v>
      </c>
      <c r="I45">
        <v>2.4</v>
      </c>
      <c r="J45">
        <v>2.4</v>
      </c>
      <c r="K45">
        <v>2.4</v>
      </c>
      <c r="L45">
        <v>6</v>
      </c>
      <c r="M45">
        <v>6</v>
      </c>
      <c r="N45">
        <v>6</v>
      </c>
      <c r="O45">
        <v>6</v>
      </c>
    </row>
    <row r="46" spans="1:15" hidden="1" x14ac:dyDescent="0.25">
      <c r="A46" t="s">
        <v>30</v>
      </c>
      <c r="B46" s="8" t="s">
        <v>120</v>
      </c>
      <c r="C46">
        <v>3</v>
      </c>
      <c r="D46" s="8" t="s">
        <v>40</v>
      </c>
      <c r="E46" s="9">
        <f>2035-2026</f>
        <v>9</v>
      </c>
      <c r="F46" s="10">
        <v>5000000</v>
      </c>
      <c r="G46" s="10">
        <v>100000000</v>
      </c>
      <c r="H46">
        <v>2.4</v>
      </c>
      <c r="I46">
        <v>2.4</v>
      </c>
      <c r="J46">
        <v>2.4</v>
      </c>
      <c r="K46">
        <v>2.4</v>
      </c>
      <c r="L46">
        <v>6</v>
      </c>
      <c r="M46">
        <v>6</v>
      </c>
      <c r="N46">
        <v>6</v>
      </c>
      <c r="O46">
        <v>6</v>
      </c>
    </row>
    <row r="47" spans="1:15" x14ac:dyDescent="0.25">
      <c r="A47" t="s">
        <v>30</v>
      </c>
      <c r="B47" s="8" t="s">
        <v>121</v>
      </c>
      <c r="C47">
        <v>1</v>
      </c>
      <c r="D47" s="8" t="s">
        <v>40</v>
      </c>
      <c r="E47" s="9">
        <f>2032-2026</f>
        <v>6</v>
      </c>
      <c r="F47" s="10">
        <v>7500000</v>
      </c>
      <c r="G47" s="10">
        <v>100000000</v>
      </c>
      <c r="H47">
        <v>2.4</v>
      </c>
      <c r="I47">
        <v>2.4</v>
      </c>
      <c r="J47">
        <v>2.4</v>
      </c>
      <c r="K47">
        <v>2.4</v>
      </c>
      <c r="L47">
        <v>6</v>
      </c>
      <c r="M47">
        <v>6</v>
      </c>
      <c r="N47">
        <v>6</v>
      </c>
      <c r="O47">
        <v>6</v>
      </c>
    </row>
    <row r="48" spans="1:15" x14ac:dyDescent="0.25">
      <c r="A48" t="s">
        <v>30</v>
      </c>
      <c r="B48" s="8" t="s">
        <v>122</v>
      </c>
      <c r="C48">
        <v>1</v>
      </c>
      <c r="D48" s="8" t="s">
        <v>40</v>
      </c>
      <c r="E48" s="9">
        <f>2030-2026</f>
        <v>4</v>
      </c>
      <c r="F48" s="10">
        <v>25000000</v>
      </c>
      <c r="G48" s="10">
        <v>1000000000</v>
      </c>
      <c r="H48">
        <v>2.4</v>
      </c>
      <c r="I48">
        <v>2.4</v>
      </c>
      <c r="J48">
        <v>2.4</v>
      </c>
      <c r="K48">
        <v>2.4</v>
      </c>
      <c r="L48">
        <v>6</v>
      </c>
      <c r="M48">
        <v>6</v>
      </c>
      <c r="N48">
        <v>6</v>
      </c>
      <c r="O48">
        <v>6</v>
      </c>
    </row>
    <row r="49" spans="1:15" x14ac:dyDescent="0.25">
      <c r="A49" t="s">
        <v>30</v>
      </c>
      <c r="B49" s="8" t="s">
        <v>123</v>
      </c>
      <c r="C49">
        <v>1</v>
      </c>
      <c r="D49" s="8" t="s">
        <v>40</v>
      </c>
      <c r="E49" s="9">
        <f>2029-2026</f>
        <v>3</v>
      </c>
      <c r="F49" s="10">
        <v>1500000</v>
      </c>
      <c r="G49" s="10">
        <v>60000000</v>
      </c>
      <c r="H49">
        <v>2.4</v>
      </c>
      <c r="I49">
        <v>2.4</v>
      </c>
      <c r="J49">
        <v>2.4</v>
      </c>
      <c r="K49">
        <v>2.4</v>
      </c>
      <c r="L49">
        <v>6</v>
      </c>
      <c r="M49">
        <v>6</v>
      </c>
      <c r="N49">
        <v>6</v>
      </c>
      <c r="O49">
        <v>6</v>
      </c>
    </row>
    <row r="50" spans="1:15" hidden="1" x14ac:dyDescent="0.25">
      <c r="A50" t="s">
        <v>30</v>
      </c>
      <c r="B50" s="8" t="s">
        <v>123</v>
      </c>
      <c r="C50">
        <v>2</v>
      </c>
      <c r="D50" s="8" t="s">
        <v>40</v>
      </c>
      <c r="E50" s="9">
        <f>2034-2026</f>
        <v>8</v>
      </c>
      <c r="F50" s="10">
        <v>8500000</v>
      </c>
      <c r="G50" s="10">
        <v>297500000</v>
      </c>
      <c r="H50">
        <v>2.4</v>
      </c>
      <c r="I50">
        <v>2.4</v>
      </c>
      <c r="J50">
        <v>2.4</v>
      </c>
      <c r="K50">
        <v>2.4</v>
      </c>
      <c r="L50">
        <v>6</v>
      </c>
      <c r="M50">
        <v>6</v>
      </c>
      <c r="N50">
        <v>6</v>
      </c>
      <c r="O50">
        <v>6</v>
      </c>
    </row>
    <row r="51" spans="1:15" hidden="1" x14ac:dyDescent="0.25">
      <c r="A51" t="s">
        <v>30</v>
      </c>
      <c r="B51" s="8" t="s">
        <v>123</v>
      </c>
      <c r="C51">
        <v>3</v>
      </c>
      <c r="D51" s="8" t="s">
        <v>40</v>
      </c>
      <c r="E51" s="9">
        <f>2040-2026</f>
        <v>14</v>
      </c>
      <c r="F51" s="10">
        <v>30000000</v>
      </c>
      <c r="G51" s="10">
        <v>330000000</v>
      </c>
      <c r="H51">
        <v>2.4</v>
      </c>
      <c r="I51">
        <v>2.4</v>
      </c>
      <c r="J51">
        <v>2.4</v>
      </c>
      <c r="K51">
        <v>2.4</v>
      </c>
      <c r="L51">
        <v>6</v>
      </c>
      <c r="M51">
        <v>6</v>
      </c>
      <c r="N51">
        <v>6</v>
      </c>
      <c r="O51">
        <v>6</v>
      </c>
    </row>
    <row r="52" spans="1:15" x14ac:dyDescent="0.25">
      <c r="A52" t="s">
        <v>30</v>
      </c>
      <c r="B52" s="8" t="s">
        <v>124</v>
      </c>
      <c r="C52">
        <v>1</v>
      </c>
      <c r="D52" s="8" t="s">
        <v>40</v>
      </c>
      <c r="E52" s="9">
        <f>2031-2026</f>
        <v>5</v>
      </c>
      <c r="F52" s="10">
        <v>1000000</v>
      </c>
      <c r="G52" s="10">
        <v>30000000</v>
      </c>
      <c r="H52">
        <v>2.4</v>
      </c>
      <c r="I52">
        <v>2.4</v>
      </c>
      <c r="J52">
        <v>2.4</v>
      </c>
      <c r="K52">
        <v>2.4</v>
      </c>
      <c r="L52">
        <v>6</v>
      </c>
      <c r="M52">
        <v>6</v>
      </c>
      <c r="N52">
        <v>6</v>
      </c>
      <c r="O52">
        <v>6</v>
      </c>
    </row>
    <row r="53" spans="1:15" hidden="1" x14ac:dyDescent="0.25">
      <c r="A53" t="s">
        <v>30</v>
      </c>
      <c r="B53" s="8" t="s">
        <v>124</v>
      </c>
      <c r="C53">
        <v>2</v>
      </c>
      <c r="D53" s="8" t="s">
        <v>40</v>
      </c>
      <c r="E53" s="9">
        <v>8</v>
      </c>
      <c r="F53" s="10">
        <v>5000000</v>
      </c>
      <c r="G53" s="10">
        <v>150000000</v>
      </c>
      <c r="H53">
        <v>2.4</v>
      </c>
      <c r="I53">
        <v>2.4</v>
      </c>
      <c r="J53">
        <v>2.4</v>
      </c>
      <c r="K53">
        <v>2.4</v>
      </c>
      <c r="L53">
        <v>6</v>
      </c>
      <c r="M53">
        <v>6</v>
      </c>
      <c r="N53">
        <v>6</v>
      </c>
      <c r="O53">
        <v>6</v>
      </c>
    </row>
    <row r="54" spans="1:15" x14ac:dyDescent="0.25">
      <c r="A54" t="s">
        <v>30</v>
      </c>
      <c r="B54" s="8" t="s">
        <v>125</v>
      </c>
      <c r="C54">
        <v>1</v>
      </c>
      <c r="D54" s="8" t="s">
        <v>40</v>
      </c>
      <c r="E54" s="9">
        <f>2029-2026</f>
        <v>3</v>
      </c>
      <c r="F54" s="10">
        <v>10000000</v>
      </c>
      <c r="G54" s="10">
        <v>200000000</v>
      </c>
      <c r="H54">
        <v>2.4</v>
      </c>
      <c r="I54">
        <v>2.4</v>
      </c>
      <c r="J54">
        <v>2.4</v>
      </c>
      <c r="K54">
        <v>2.4</v>
      </c>
      <c r="L54">
        <v>6</v>
      </c>
      <c r="M54">
        <v>6</v>
      </c>
      <c r="N54">
        <v>6</v>
      </c>
      <c r="O54">
        <v>6</v>
      </c>
    </row>
    <row r="55" spans="1:15" x14ac:dyDescent="0.25">
      <c r="A55" t="s">
        <v>30</v>
      </c>
      <c r="B55" s="8" t="s">
        <v>127</v>
      </c>
      <c r="C55">
        <v>1</v>
      </c>
      <c r="D55" s="8" t="s">
        <v>39</v>
      </c>
      <c r="E55" s="9">
        <f>2033-2026</f>
        <v>7</v>
      </c>
      <c r="F55" s="10">
        <v>6000000</v>
      </c>
      <c r="G55" s="10">
        <v>90000000</v>
      </c>
      <c r="H55">
        <v>4.2249999999999996</v>
      </c>
      <c r="I55">
        <v>4.2249999999999996</v>
      </c>
      <c r="J55">
        <v>4.2249999999999996</v>
      </c>
      <c r="K55">
        <v>4.2249999999999996</v>
      </c>
      <c r="L55">
        <v>6</v>
      </c>
      <c r="M55">
        <v>6</v>
      </c>
      <c r="N55">
        <v>6</v>
      </c>
      <c r="O55">
        <v>6</v>
      </c>
    </row>
    <row r="56" spans="1:15" x14ac:dyDescent="0.25">
      <c r="A56" t="s">
        <v>30</v>
      </c>
      <c r="B56" s="8" t="s">
        <v>128</v>
      </c>
      <c r="C56">
        <v>1</v>
      </c>
      <c r="D56" s="8" t="s">
        <v>39</v>
      </c>
      <c r="E56" s="9">
        <f>2033-2026</f>
        <v>7</v>
      </c>
      <c r="F56" s="10">
        <v>6000000</v>
      </c>
      <c r="G56" s="10">
        <v>90000000</v>
      </c>
      <c r="H56">
        <v>4.2249999999999996</v>
      </c>
      <c r="I56">
        <v>4.2249999999999996</v>
      </c>
      <c r="J56">
        <v>4.2249999999999996</v>
      </c>
      <c r="K56">
        <v>4.2249999999999996</v>
      </c>
      <c r="L56">
        <v>6</v>
      </c>
      <c r="M56">
        <v>6</v>
      </c>
      <c r="N56">
        <v>6</v>
      </c>
      <c r="O56">
        <v>6</v>
      </c>
    </row>
    <row r="57" spans="1:15" x14ac:dyDescent="0.25">
      <c r="A57" t="s">
        <v>30</v>
      </c>
      <c r="B57" s="8" t="s">
        <v>129</v>
      </c>
      <c r="C57">
        <v>1</v>
      </c>
      <c r="D57" s="8" t="s">
        <v>39</v>
      </c>
      <c r="E57" s="9">
        <f>2030-2026</f>
        <v>4</v>
      </c>
      <c r="F57" s="10">
        <v>5000000</v>
      </c>
      <c r="G57" s="10">
        <v>100000000</v>
      </c>
      <c r="H57">
        <v>4.2249999999999996</v>
      </c>
      <c r="I57">
        <v>4.2249999999999996</v>
      </c>
      <c r="J57">
        <v>4.2249999999999996</v>
      </c>
      <c r="K57">
        <v>4.2249999999999996</v>
      </c>
      <c r="L57">
        <v>6</v>
      </c>
      <c r="M57">
        <v>6</v>
      </c>
      <c r="N57">
        <v>6</v>
      </c>
      <c r="O57">
        <v>6</v>
      </c>
    </row>
    <row r="58" spans="1:15" hidden="1" x14ac:dyDescent="0.25">
      <c r="A58" t="s">
        <v>30</v>
      </c>
      <c r="B58" s="8" t="s">
        <v>129</v>
      </c>
      <c r="C58">
        <v>2</v>
      </c>
      <c r="D58" s="8" t="s">
        <v>39</v>
      </c>
      <c r="E58" s="9">
        <v>8</v>
      </c>
      <c r="F58" s="10">
        <v>15000000</v>
      </c>
      <c r="G58" s="10">
        <v>150000000</v>
      </c>
      <c r="H58">
        <v>4.2249999999999996</v>
      </c>
      <c r="I58">
        <v>4.2249999999999996</v>
      </c>
      <c r="J58">
        <v>4.2249999999999996</v>
      </c>
      <c r="K58">
        <v>4.2249999999999996</v>
      </c>
      <c r="L58">
        <v>6</v>
      </c>
      <c r="M58">
        <v>6</v>
      </c>
      <c r="N58">
        <v>6</v>
      </c>
      <c r="O58">
        <v>6</v>
      </c>
    </row>
    <row r="59" spans="1:15" x14ac:dyDescent="0.25">
      <c r="A59" t="s">
        <v>30</v>
      </c>
      <c r="B59" s="8" t="s">
        <v>130</v>
      </c>
      <c r="C59">
        <v>1</v>
      </c>
      <c r="D59" s="8" t="s">
        <v>39</v>
      </c>
      <c r="E59" s="9">
        <f>2028-2026</f>
        <v>2</v>
      </c>
      <c r="F59" s="10">
        <v>4000000</v>
      </c>
      <c r="G59" s="10">
        <v>80000000</v>
      </c>
      <c r="H59">
        <v>4.2249999999999996</v>
      </c>
      <c r="I59">
        <v>4.2249999999999996</v>
      </c>
      <c r="J59">
        <v>4.2249999999999996</v>
      </c>
      <c r="K59">
        <v>4.2249999999999996</v>
      </c>
      <c r="L59">
        <v>6</v>
      </c>
      <c r="M59">
        <v>6</v>
      </c>
      <c r="N59">
        <v>6</v>
      </c>
      <c r="O59">
        <v>6</v>
      </c>
    </row>
    <row r="60" spans="1:15" hidden="1" x14ac:dyDescent="0.25">
      <c r="A60" t="s">
        <v>30</v>
      </c>
      <c r="B60" s="8" t="s">
        <v>130</v>
      </c>
      <c r="C60">
        <v>2</v>
      </c>
      <c r="D60" s="8" t="s">
        <v>39</v>
      </c>
      <c r="E60" s="9">
        <f>2035-2026</f>
        <v>9</v>
      </c>
      <c r="F60" s="10">
        <v>19000000</v>
      </c>
      <c r="G60" s="10">
        <v>285000000</v>
      </c>
      <c r="H60">
        <v>4.2249999999999996</v>
      </c>
      <c r="I60">
        <v>4.2249999999999996</v>
      </c>
      <c r="J60">
        <v>4.2249999999999996</v>
      </c>
      <c r="K60">
        <v>4.2249999999999996</v>
      </c>
      <c r="L60">
        <v>6</v>
      </c>
      <c r="M60">
        <v>6</v>
      </c>
      <c r="N60">
        <v>6</v>
      </c>
      <c r="O60">
        <v>6</v>
      </c>
    </row>
  </sheetData>
  <autoFilter ref="C1:C60" xr:uid="{EA852480-4336-48A0-952D-1FD697CF57B6}">
    <filterColumn colId="0">
      <filters>
        <filter val="1"/>
      </filters>
    </filterColumn>
  </autoFilter>
  <phoneticPr fontId="5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FD33-60F4-49E4-A8F6-CF75D47BDD76}">
  <dimension ref="A1:R7"/>
  <sheetViews>
    <sheetView workbookViewId="0">
      <selection activeCell="B14" sqref="B14"/>
    </sheetView>
  </sheetViews>
  <sheetFormatPr baseColWidth="10" defaultRowHeight="15" x14ac:dyDescent="0.25"/>
  <cols>
    <col min="1" max="1" width="20" customWidth="1"/>
    <col min="2" max="2" width="20.5703125" customWidth="1"/>
  </cols>
  <sheetData>
    <row r="1" spans="1:18" x14ac:dyDescent="0.25">
      <c r="A1" s="1" t="s">
        <v>76</v>
      </c>
      <c r="B1" s="1" t="s">
        <v>55</v>
      </c>
      <c r="C1" s="1" t="s">
        <v>56</v>
      </c>
      <c r="D1" s="1" t="s">
        <v>81</v>
      </c>
      <c r="E1" s="1" t="s">
        <v>48</v>
      </c>
      <c r="F1" s="1" t="s">
        <v>49</v>
      </c>
      <c r="G1" s="1" t="s">
        <v>50</v>
      </c>
      <c r="H1" s="1" t="s">
        <v>133</v>
      </c>
      <c r="I1" s="1" t="s">
        <v>131</v>
      </c>
      <c r="J1" s="1" t="s">
        <v>132</v>
      </c>
      <c r="K1" s="1" t="s">
        <v>134</v>
      </c>
      <c r="L1" s="1" t="s">
        <v>58</v>
      </c>
      <c r="M1" s="1" t="s">
        <v>59</v>
      </c>
      <c r="N1" s="1" t="s">
        <v>60</v>
      </c>
      <c r="O1" s="1" t="s">
        <v>135</v>
      </c>
      <c r="P1" s="1" t="s">
        <v>136</v>
      </c>
      <c r="Q1" s="1" t="s">
        <v>137</v>
      </c>
      <c r="R1" s="1" t="s">
        <v>138</v>
      </c>
    </row>
    <row r="2" spans="1:18" x14ac:dyDescent="0.25">
      <c r="A2" t="s">
        <v>88</v>
      </c>
      <c r="B2" t="s">
        <v>61</v>
      </c>
      <c r="C2" t="s">
        <v>57</v>
      </c>
      <c r="D2" s="6">
        <v>370.07860257398664</v>
      </c>
      <c r="E2" s="6">
        <v>345.55532168052969</v>
      </c>
      <c r="F2" s="6">
        <v>292.04998154935089</v>
      </c>
      <c r="G2" s="6">
        <v>246.34750352063568</v>
      </c>
      <c r="H2" s="6">
        <v>8.58</v>
      </c>
      <c r="I2" s="6">
        <v>7.8599999999999994</v>
      </c>
      <c r="J2" s="6">
        <v>6.66</v>
      </c>
      <c r="K2" s="6">
        <v>5.7</v>
      </c>
      <c r="L2" s="6">
        <v>65</v>
      </c>
      <c r="M2" s="6">
        <v>90</v>
      </c>
      <c r="N2">
        <v>77.5</v>
      </c>
      <c r="O2" s="6">
        <v>36.36</v>
      </c>
      <c r="P2" s="6">
        <v>36.36</v>
      </c>
      <c r="Q2" s="6">
        <v>36.36</v>
      </c>
      <c r="R2" s="6">
        <v>36.36</v>
      </c>
    </row>
    <row r="3" spans="1:18" x14ac:dyDescent="0.25">
      <c r="A3" t="s">
        <v>89</v>
      </c>
      <c r="B3" t="s">
        <v>62</v>
      </c>
      <c r="C3" t="s">
        <v>57</v>
      </c>
      <c r="D3" s="6">
        <v>1047.8129109022511</v>
      </c>
      <c r="E3" s="6">
        <v>978.70184656614526</v>
      </c>
      <c r="F3" s="6">
        <v>824.87399368900628</v>
      </c>
      <c r="G3" s="6">
        <v>695.5694217053242</v>
      </c>
      <c r="H3" s="6">
        <v>6.3</v>
      </c>
      <c r="I3" s="6">
        <v>6.048</v>
      </c>
      <c r="J3" s="6">
        <v>5.5440000000000005</v>
      </c>
      <c r="K3" s="6">
        <v>5.04</v>
      </c>
      <c r="L3" s="6">
        <v>90</v>
      </c>
      <c r="M3" s="6">
        <v>94</v>
      </c>
      <c r="N3">
        <v>92</v>
      </c>
      <c r="O3" s="6">
        <v>38.36</v>
      </c>
      <c r="P3" s="6">
        <v>38.36</v>
      </c>
      <c r="Q3" s="6">
        <v>38.36</v>
      </c>
      <c r="R3" s="6">
        <v>38.36</v>
      </c>
    </row>
    <row r="4" spans="1:18" x14ac:dyDescent="0.25">
      <c r="A4" t="s">
        <v>90</v>
      </c>
      <c r="B4" t="s">
        <v>63</v>
      </c>
      <c r="C4" t="s">
        <v>57</v>
      </c>
      <c r="D4" s="6">
        <v>339.98184875019854</v>
      </c>
      <c r="E4" s="6">
        <v>317.68795702887405</v>
      </c>
      <c r="F4" s="6">
        <v>267.52670065589393</v>
      </c>
      <c r="G4" s="6">
        <v>226.28300097144361</v>
      </c>
      <c r="H4" s="6">
        <v>2.16</v>
      </c>
      <c r="I4" s="6">
        <v>2.0760000000000001</v>
      </c>
      <c r="J4" s="6">
        <v>1.9019999999999999</v>
      </c>
      <c r="K4" s="6">
        <v>1.728</v>
      </c>
      <c r="L4" s="6">
        <v>90</v>
      </c>
      <c r="M4" s="6">
        <v>99</v>
      </c>
      <c r="N4">
        <v>94.5</v>
      </c>
      <c r="O4" s="6">
        <v>37.28</v>
      </c>
      <c r="P4" s="6">
        <v>37.28</v>
      </c>
      <c r="Q4" s="6">
        <v>37.28</v>
      </c>
      <c r="R4" s="6">
        <v>37.28</v>
      </c>
    </row>
    <row r="5" spans="1:18" x14ac:dyDescent="0.25">
      <c r="A5" t="s">
        <v>91</v>
      </c>
      <c r="B5" t="s">
        <v>64</v>
      </c>
      <c r="C5" t="s">
        <v>57</v>
      </c>
      <c r="D5" s="6">
        <v>836.02093954966858</v>
      </c>
      <c r="E5" s="6">
        <v>780.28621024635731</v>
      </c>
      <c r="F5" s="6">
        <v>657.66980577907259</v>
      </c>
      <c r="G5" s="6">
        <v>555.11790386097982</v>
      </c>
      <c r="H5" s="6">
        <v>6.3</v>
      </c>
      <c r="I5" s="6">
        <v>6.048</v>
      </c>
      <c r="J5" s="6">
        <v>5.5440000000000005</v>
      </c>
      <c r="K5" s="6">
        <v>5.04</v>
      </c>
      <c r="L5" s="6">
        <v>90</v>
      </c>
      <c r="M5" s="6">
        <v>99</v>
      </c>
      <c r="N5">
        <v>94.5</v>
      </c>
      <c r="O5" s="6">
        <v>35.1</v>
      </c>
      <c r="P5" s="6">
        <v>35.1</v>
      </c>
      <c r="Q5" s="6">
        <v>35.1</v>
      </c>
      <c r="R5" s="6">
        <v>35.1</v>
      </c>
    </row>
    <row r="6" spans="1:18" x14ac:dyDescent="0.25">
      <c r="A6" t="s">
        <v>78</v>
      </c>
      <c r="B6" t="s">
        <v>65</v>
      </c>
      <c r="C6" t="s">
        <v>57</v>
      </c>
      <c r="D6" s="6">
        <v>947.49039815629101</v>
      </c>
      <c r="E6" s="6">
        <v>876.42861829456922</v>
      </c>
      <c r="F6" s="6">
        <v>866.11769337345663</v>
      </c>
      <c r="G6" s="6">
        <v>855.80676845234404</v>
      </c>
      <c r="H6" s="6">
        <v>5.0999999999999996</v>
      </c>
      <c r="I6" s="6">
        <v>4.7175000000000002</v>
      </c>
      <c r="J6" s="6">
        <v>4.6619999999999999</v>
      </c>
      <c r="K6" s="6">
        <v>4.6065000000000005</v>
      </c>
      <c r="L6" s="6">
        <v>90</v>
      </c>
      <c r="M6" s="6">
        <v>90</v>
      </c>
      <c r="N6">
        <v>90</v>
      </c>
      <c r="O6" s="6">
        <v>40.520000000000003</v>
      </c>
      <c r="P6" s="6">
        <v>40.520000000000003</v>
      </c>
      <c r="Q6" s="6">
        <v>40.520000000000003</v>
      </c>
      <c r="R6" s="6">
        <v>40.520000000000003</v>
      </c>
    </row>
    <row r="7" spans="1:18" x14ac:dyDescent="0.25">
      <c r="A7" t="s">
        <v>93</v>
      </c>
      <c r="B7" t="s">
        <v>94</v>
      </c>
      <c r="C7" t="s">
        <v>57</v>
      </c>
      <c r="D7" s="6">
        <v>1047.8129109022511</v>
      </c>
      <c r="E7" s="6">
        <v>978.70184656614526</v>
      </c>
      <c r="F7" s="6">
        <v>824.87399368900628</v>
      </c>
      <c r="G7" s="6">
        <v>695.5694217053242</v>
      </c>
      <c r="H7" s="6">
        <v>6.3</v>
      </c>
      <c r="I7" s="6">
        <v>6.048</v>
      </c>
      <c r="J7" s="6">
        <v>5.5440000000000005</v>
      </c>
      <c r="K7" s="6">
        <v>5.04</v>
      </c>
      <c r="L7" s="6">
        <v>65</v>
      </c>
      <c r="M7" s="6">
        <v>90</v>
      </c>
      <c r="N7">
        <v>77.5</v>
      </c>
      <c r="O7" s="6">
        <v>40.520000000000003</v>
      </c>
      <c r="P7" s="6">
        <v>40.520000000000003</v>
      </c>
      <c r="Q7" s="6">
        <v>40.520000000000003</v>
      </c>
      <c r="R7" s="6">
        <v>40.520000000000003</v>
      </c>
    </row>
  </sheetData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56E3-C0AC-4D2F-A746-7D2A27055AB0}">
  <dimension ref="A1:F19"/>
  <sheetViews>
    <sheetView workbookViewId="0">
      <selection activeCell="K13" sqref="K13"/>
    </sheetView>
  </sheetViews>
  <sheetFormatPr baseColWidth="10" defaultRowHeight="15" x14ac:dyDescent="0.25"/>
  <sheetData>
    <row r="1" spans="1:6" x14ac:dyDescent="0.25">
      <c r="A1" t="s">
        <v>23</v>
      </c>
      <c r="B1" t="s">
        <v>84</v>
      </c>
      <c r="C1" t="s">
        <v>55</v>
      </c>
      <c r="D1" t="s">
        <v>85</v>
      </c>
      <c r="E1" t="s">
        <v>86</v>
      </c>
      <c r="F1" t="s">
        <v>87</v>
      </c>
    </row>
    <row r="2" spans="1:6" x14ac:dyDescent="0.25">
      <c r="A2" t="s">
        <v>38</v>
      </c>
      <c r="B2" t="s">
        <v>88</v>
      </c>
      <c r="C2" t="s">
        <v>61</v>
      </c>
      <c r="D2">
        <v>0</v>
      </c>
      <c r="E2">
        <v>7650000</v>
      </c>
      <c r="F2">
        <v>0.02</v>
      </c>
    </row>
    <row r="3" spans="1:6" x14ac:dyDescent="0.25">
      <c r="A3" t="s">
        <v>38</v>
      </c>
      <c r="B3" t="s">
        <v>89</v>
      </c>
      <c r="C3" t="s">
        <v>62</v>
      </c>
      <c r="D3" s="15">
        <v>125000</v>
      </c>
      <c r="E3">
        <v>112000</v>
      </c>
      <c r="F3">
        <v>0.02</v>
      </c>
    </row>
    <row r="4" spans="1:6" x14ac:dyDescent="0.25">
      <c r="A4" t="s">
        <v>38</v>
      </c>
      <c r="B4" t="s">
        <v>90</v>
      </c>
      <c r="C4" t="s">
        <v>63</v>
      </c>
      <c r="D4">
        <v>0</v>
      </c>
      <c r="E4">
        <v>2610000</v>
      </c>
      <c r="F4">
        <v>0.02</v>
      </c>
    </row>
    <row r="5" spans="1:6" x14ac:dyDescent="0.25">
      <c r="A5" t="s">
        <v>38</v>
      </c>
      <c r="B5" t="s">
        <v>91</v>
      </c>
      <c r="C5" t="s">
        <v>64</v>
      </c>
      <c r="D5" s="14">
        <v>910000</v>
      </c>
      <c r="E5">
        <v>5400000</v>
      </c>
      <c r="F5">
        <v>0.02</v>
      </c>
    </row>
    <row r="6" spans="1:6" x14ac:dyDescent="0.25">
      <c r="A6" t="s">
        <v>38</v>
      </c>
      <c r="B6" t="s">
        <v>78</v>
      </c>
      <c r="C6" t="s">
        <v>65</v>
      </c>
      <c r="D6" s="15">
        <v>100000</v>
      </c>
      <c r="E6">
        <v>12950000</v>
      </c>
      <c r="F6">
        <v>0.02</v>
      </c>
    </row>
    <row r="7" spans="1:6" x14ac:dyDescent="0.25">
      <c r="A7" t="s">
        <v>29</v>
      </c>
      <c r="B7" t="s">
        <v>88</v>
      </c>
      <c r="C7" t="s">
        <v>61</v>
      </c>
      <c r="D7" s="13">
        <v>400000</v>
      </c>
      <c r="E7">
        <v>400000</v>
      </c>
      <c r="F7">
        <v>0.02</v>
      </c>
    </row>
    <row r="8" spans="1:6" x14ac:dyDescent="0.25">
      <c r="A8" t="s">
        <v>29</v>
      </c>
      <c r="B8" t="s">
        <v>89</v>
      </c>
      <c r="C8" t="s">
        <v>62</v>
      </c>
      <c r="D8">
        <v>0</v>
      </c>
      <c r="E8">
        <v>260000</v>
      </c>
      <c r="F8">
        <v>0.02</v>
      </c>
    </row>
    <row r="9" spans="1:6" x14ac:dyDescent="0.25">
      <c r="A9" t="s">
        <v>29</v>
      </c>
      <c r="B9" t="s">
        <v>90</v>
      </c>
      <c r="C9" t="s">
        <v>63</v>
      </c>
      <c r="D9">
        <v>0</v>
      </c>
      <c r="E9">
        <v>200000</v>
      </c>
      <c r="F9">
        <v>0.02</v>
      </c>
    </row>
    <row r="10" spans="1:6" x14ac:dyDescent="0.25">
      <c r="A10" t="s">
        <v>29</v>
      </c>
      <c r="B10" t="s">
        <v>91</v>
      </c>
      <c r="C10" t="s">
        <v>64</v>
      </c>
      <c r="D10">
        <v>1700000</v>
      </c>
      <c r="E10">
        <v>500000</v>
      </c>
      <c r="F10">
        <v>0.02</v>
      </c>
    </row>
    <row r="11" spans="1:6" x14ac:dyDescent="0.25">
      <c r="A11" t="s">
        <v>29</v>
      </c>
      <c r="B11" t="s">
        <v>78</v>
      </c>
      <c r="C11" t="s">
        <v>65</v>
      </c>
      <c r="D11">
        <v>0</v>
      </c>
      <c r="E11">
        <v>450000</v>
      </c>
      <c r="F11">
        <v>0.02</v>
      </c>
    </row>
    <row r="12" spans="1:6" x14ac:dyDescent="0.25">
      <c r="A12" t="s">
        <v>30</v>
      </c>
      <c r="B12" t="s">
        <v>88</v>
      </c>
      <c r="C12" t="s">
        <v>61</v>
      </c>
      <c r="D12">
        <v>0</v>
      </c>
      <c r="E12">
        <v>800000</v>
      </c>
      <c r="F12">
        <v>0.02</v>
      </c>
    </row>
    <row r="13" spans="1:6" x14ac:dyDescent="0.25">
      <c r="A13" t="s">
        <v>30</v>
      </c>
      <c r="B13" t="s">
        <v>89</v>
      </c>
      <c r="C13" t="s">
        <v>62</v>
      </c>
      <c r="D13">
        <v>0</v>
      </c>
      <c r="E13">
        <v>125000</v>
      </c>
      <c r="F13">
        <v>0.02</v>
      </c>
    </row>
    <row r="14" spans="1:6" x14ac:dyDescent="0.25">
      <c r="A14" t="s">
        <v>30</v>
      </c>
      <c r="B14" t="s">
        <v>90</v>
      </c>
      <c r="C14" t="s">
        <v>63</v>
      </c>
      <c r="D14">
        <v>0</v>
      </c>
      <c r="E14">
        <v>1000000</v>
      </c>
      <c r="F14">
        <v>0.02</v>
      </c>
    </row>
    <row r="15" spans="1:6" x14ac:dyDescent="0.25">
      <c r="A15" t="s">
        <v>30</v>
      </c>
      <c r="B15" t="s">
        <v>91</v>
      </c>
      <c r="C15" t="s">
        <v>64</v>
      </c>
      <c r="D15">
        <v>0</v>
      </c>
      <c r="E15">
        <v>1360000</v>
      </c>
      <c r="F15">
        <v>0.02</v>
      </c>
    </row>
    <row r="16" spans="1:6" x14ac:dyDescent="0.25">
      <c r="A16" t="s">
        <v>30</v>
      </c>
      <c r="B16" t="s">
        <v>78</v>
      </c>
      <c r="C16" t="s">
        <v>65</v>
      </c>
      <c r="D16">
        <v>0</v>
      </c>
      <c r="E16">
        <v>10600000</v>
      </c>
      <c r="F16">
        <v>0.02</v>
      </c>
    </row>
    <row r="17" spans="1:6" x14ac:dyDescent="0.25">
      <c r="A17" t="s">
        <v>38</v>
      </c>
      <c r="B17" t="s">
        <v>93</v>
      </c>
      <c r="C17" t="s">
        <v>94</v>
      </c>
      <c r="D17">
        <v>0</v>
      </c>
      <c r="E17">
        <v>6290000</v>
      </c>
      <c r="F17">
        <v>0.02</v>
      </c>
    </row>
    <row r="18" spans="1:6" x14ac:dyDescent="0.25">
      <c r="A18" t="s">
        <v>29</v>
      </c>
      <c r="B18" t="s">
        <v>93</v>
      </c>
      <c r="C18" t="s">
        <v>94</v>
      </c>
      <c r="D18">
        <v>0</v>
      </c>
      <c r="E18">
        <v>2000000</v>
      </c>
      <c r="F18">
        <v>0.02</v>
      </c>
    </row>
    <row r="19" spans="1:6" x14ac:dyDescent="0.25">
      <c r="A19" t="s">
        <v>30</v>
      </c>
      <c r="B19" t="s">
        <v>93</v>
      </c>
      <c r="C19" t="s">
        <v>94</v>
      </c>
      <c r="D19">
        <v>0</v>
      </c>
      <c r="E19">
        <v>11195000</v>
      </c>
      <c r="F19">
        <v>0.02</v>
      </c>
    </row>
  </sheetData>
  <phoneticPr fontId="5" type="noConversion"/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BEAB-012A-44FE-9D5A-F890D4AF74D1}">
  <dimension ref="A1:S26"/>
  <sheetViews>
    <sheetView tabSelected="1" workbookViewId="0">
      <selection activeCell="L32" sqref="L32"/>
    </sheetView>
  </sheetViews>
  <sheetFormatPr baseColWidth="10" defaultRowHeight="15" x14ac:dyDescent="0.25"/>
  <sheetData>
    <row r="1" spans="1:19" x14ac:dyDescent="0.25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</row>
    <row r="2" spans="1:19" x14ac:dyDescent="0.25">
      <c r="A2">
        <v>2026</v>
      </c>
      <c r="B2">
        <v>200000</v>
      </c>
      <c r="C2">
        <v>800000</v>
      </c>
      <c r="D2">
        <v>125000</v>
      </c>
      <c r="E2">
        <v>631000</v>
      </c>
      <c r="F2">
        <v>530000</v>
      </c>
      <c r="G2">
        <v>3228000</v>
      </c>
      <c r="H2">
        <v>400000</v>
      </c>
      <c r="I2">
        <v>0</v>
      </c>
      <c r="J2">
        <v>0</v>
      </c>
      <c r="K2">
        <v>0</v>
      </c>
      <c r="L2">
        <v>0</v>
      </c>
      <c r="M2">
        <v>1700000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2027</v>
      </c>
      <c r="B3">
        <v>0</v>
      </c>
      <c r="C3">
        <v>2610000</v>
      </c>
      <c r="D3">
        <v>0</v>
      </c>
      <c r="E3">
        <v>0</v>
      </c>
      <c r="F3">
        <v>1164000</v>
      </c>
      <c r="G3">
        <v>0</v>
      </c>
      <c r="H3">
        <v>0</v>
      </c>
      <c r="I3">
        <v>0</v>
      </c>
      <c r="J3">
        <v>0</v>
      </c>
      <c r="K3">
        <v>0</v>
      </c>
      <c r="L3">
        <v>100000</v>
      </c>
      <c r="M3">
        <v>0</v>
      </c>
      <c r="N3">
        <v>0</v>
      </c>
      <c r="O3">
        <v>0</v>
      </c>
      <c r="P3">
        <v>0</v>
      </c>
      <c r="Q3">
        <v>0</v>
      </c>
      <c r="R3">
        <v>5300000</v>
      </c>
      <c r="S3">
        <v>0</v>
      </c>
    </row>
    <row r="4" spans="1:19" x14ac:dyDescent="0.25">
      <c r="A4">
        <v>2028</v>
      </c>
      <c r="B4">
        <v>2176000</v>
      </c>
      <c r="C4">
        <v>0</v>
      </c>
      <c r="D4">
        <v>0</v>
      </c>
      <c r="E4">
        <v>4500000</v>
      </c>
      <c r="F4">
        <v>1993000</v>
      </c>
      <c r="G4">
        <v>1000000</v>
      </c>
      <c r="H4">
        <v>0</v>
      </c>
      <c r="I4">
        <v>0</v>
      </c>
      <c r="J4">
        <v>260000</v>
      </c>
      <c r="K4">
        <v>0</v>
      </c>
      <c r="L4">
        <v>100000</v>
      </c>
      <c r="M4">
        <v>0</v>
      </c>
      <c r="N4">
        <v>0</v>
      </c>
      <c r="O4">
        <v>0</v>
      </c>
      <c r="P4">
        <v>0</v>
      </c>
      <c r="Q4">
        <v>3718000</v>
      </c>
      <c r="R4">
        <v>10600000</v>
      </c>
      <c r="S4">
        <v>1360000</v>
      </c>
    </row>
    <row r="5" spans="1:19" x14ac:dyDescent="0.25">
      <c r="A5">
        <v>2029</v>
      </c>
      <c r="B5">
        <v>7459000</v>
      </c>
      <c r="C5">
        <v>0</v>
      </c>
      <c r="D5">
        <v>112000</v>
      </c>
      <c r="E5">
        <v>3188000</v>
      </c>
      <c r="F5">
        <v>1160000</v>
      </c>
      <c r="G5">
        <v>0</v>
      </c>
      <c r="H5">
        <v>0</v>
      </c>
      <c r="I5">
        <v>0</v>
      </c>
      <c r="J5">
        <v>0</v>
      </c>
      <c r="K5">
        <v>0</v>
      </c>
      <c r="L5">
        <v>350000</v>
      </c>
      <c r="M5">
        <v>0</v>
      </c>
      <c r="N5">
        <v>800000</v>
      </c>
      <c r="O5">
        <v>0</v>
      </c>
      <c r="P5">
        <v>0</v>
      </c>
      <c r="Q5">
        <v>0</v>
      </c>
      <c r="R5">
        <v>2270000</v>
      </c>
      <c r="S5">
        <v>0</v>
      </c>
    </row>
    <row r="6" spans="1:19" x14ac:dyDescent="0.25">
      <c r="A6">
        <v>2030</v>
      </c>
      <c r="B6">
        <v>7650000</v>
      </c>
      <c r="C6">
        <v>0</v>
      </c>
      <c r="D6">
        <v>0</v>
      </c>
      <c r="E6">
        <v>6290000</v>
      </c>
      <c r="F6">
        <v>12950000</v>
      </c>
      <c r="G6">
        <v>5400000</v>
      </c>
      <c r="H6">
        <v>0</v>
      </c>
      <c r="I6">
        <v>0</v>
      </c>
      <c r="J6">
        <v>0</v>
      </c>
      <c r="K6">
        <v>0</v>
      </c>
      <c r="L6">
        <v>450000</v>
      </c>
      <c r="M6">
        <v>0</v>
      </c>
      <c r="N6">
        <v>0</v>
      </c>
      <c r="O6">
        <v>1000000</v>
      </c>
      <c r="P6">
        <v>0</v>
      </c>
      <c r="Q6">
        <v>11195000</v>
      </c>
      <c r="R6">
        <v>10000000</v>
      </c>
      <c r="S6">
        <v>0</v>
      </c>
    </row>
    <row r="7" spans="1:19" x14ac:dyDescent="0.25">
      <c r="A7">
        <v>2031</v>
      </c>
      <c r="B7">
        <v>4600000</v>
      </c>
      <c r="C7">
        <v>0</v>
      </c>
      <c r="D7">
        <v>0</v>
      </c>
      <c r="E7">
        <v>1700000</v>
      </c>
      <c r="F7">
        <v>0</v>
      </c>
      <c r="G7">
        <v>740000</v>
      </c>
      <c r="H7">
        <v>0</v>
      </c>
      <c r="I7">
        <v>0</v>
      </c>
      <c r="J7">
        <v>0</v>
      </c>
      <c r="K7">
        <v>2000000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2032</v>
      </c>
      <c r="B8">
        <v>5415000</v>
      </c>
      <c r="C8">
        <v>0</v>
      </c>
      <c r="D8">
        <v>0</v>
      </c>
      <c r="E8">
        <v>2000000</v>
      </c>
      <c r="F8">
        <v>3500000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540000</v>
      </c>
      <c r="O8">
        <v>0</v>
      </c>
      <c r="P8">
        <v>0</v>
      </c>
      <c r="Q8">
        <v>890000</v>
      </c>
      <c r="R8">
        <v>0</v>
      </c>
      <c r="S8">
        <v>0</v>
      </c>
    </row>
    <row r="9" spans="1:19" x14ac:dyDescent="0.25">
      <c r="A9">
        <v>2033</v>
      </c>
      <c r="B9">
        <v>600000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6700000</v>
      </c>
      <c r="S9">
        <v>0</v>
      </c>
    </row>
    <row r="10" spans="1:19" x14ac:dyDescent="0.25">
      <c r="A10">
        <v>2034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5600000</v>
      </c>
      <c r="S10">
        <v>0</v>
      </c>
    </row>
    <row r="11" spans="1:19" x14ac:dyDescent="0.25">
      <c r="A11" s="16">
        <v>2035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150000</v>
      </c>
      <c r="L11" s="16">
        <v>270000</v>
      </c>
      <c r="M11" s="16">
        <v>0</v>
      </c>
      <c r="N11" s="16">
        <v>0</v>
      </c>
      <c r="O11" s="16">
        <v>0</v>
      </c>
      <c r="P11" s="16">
        <v>0</v>
      </c>
      <c r="Q11" s="16">
        <v>1500000</v>
      </c>
      <c r="R11" s="16">
        <v>1870000</v>
      </c>
      <c r="S11" s="16">
        <v>0</v>
      </c>
    </row>
    <row r="12" spans="1:19" x14ac:dyDescent="0.25">
      <c r="A12">
        <v>2036</v>
      </c>
      <c r="B12">
        <v>7650000</v>
      </c>
      <c r="C12">
        <v>2610000</v>
      </c>
      <c r="D12">
        <v>112000</v>
      </c>
      <c r="E12">
        <v>6290000</v>
      </c>
      <c r="F12">
        <v>12950000</v>
      </c>
      <c r="G12">
        <v>5400000</v>
      </c>
      <c r="H12">
        <v>0</v>
      </c>
      <c r="I12">
        <v>0</v>
      </c>
      <c r="J12">
        <v>260000</v>
      </c>
      <c r="K12">
        <v>2000000</v>
      </c>
      <c r="L12">
        <v>450000</v>
      </c>
      <c r="M12">
        <v>0</v>
      </c>
      <c r="N12">
        <v>800000</v>
      </c>
      <c r="O12">
        <v>1000000</v>
      </c>
      <c r="P12">
        <v>0</v>
      </c>
      <c r="Q12">
        <v>11195000</v>
      </c>
      <c r="R12">
        <v>10600000</v>
      </c>
      <c r="S12">
        <v>1360000</v>
      </c>
    </row>
    <row r="13" spans="1:19" x14ac:dyDescent="0.25">
      <c r="A13">
        <v>2037</v>
      </c>
      <c r="B13">
        <v>7650000</v>
      </c>
      <c r="C13">
        <v>2610000</v>
      </c>
      <c r="D13">
        <v>112000</v>
      </c>
      <c r="E13">
        <v>6290000</v>
      </c>
      <c r="F13">
        <v>12950000</v>
      </c>
      <c r="G13">
        <v>5400000</v>
      </c>
      <c r="H13">
        <v>0</v>
      </c>
      <c r="I13">
        <v>0</v>
      </c>
      <c r="J13">
        <v>260000</v>
      </c>
      <c r="K13">
        <v>2000000</v>
      </c>
      <c r="L13">
        <v>450000</v>
      </c>
      <c r="M13">
        <v>0</v>
      </c>
      <c r="N13">
        <v>800000</v>
      </c>
      <c r="O13">
        <v>1000000</v>
      </c>
      <c r="P13">
        <v>0</v>
      </c>
      <c r="Q13">
        <v>11195000</v>
      </c>
      <c r="R13">
        <v>10600000</v>
      </c>
      <c r="S13">
        <v>1360000</v>
      </c>
    </row>
    <row r="14" spans="1:19" x14ac:dyDescent="0.25">
      <c r="A14">
        <v>2038</v>
      </c>
      <c r="B14">
        <v>7650000</v>
      </c>
      <c r="C14">
        <v>2610000</v>
      </c>
      <c r="D14">
        <v>112000</v>
      </c>
      <c r="E14">
        <v>6290000</v>
      </c>
      <c r="F14">
        <v>12950000</v>
      </c>
      <c r="G14">
        <v>5400000</v>
      </c>
      <c r="H14">
        <v>0</v>
      </c>
      <c r="I14">
        <v>0</v>
      </c>
      <c r="J14">
        <v>260000</v>
      </c>
      <c r="K14">
        <v>2000000</v>
      </c>
      <c r="L14">
        <v>450000</v>
      </c>
      <c r="M14">
        <v>0</v>
      </c>
      <c r="N14">
        <v>800000</v>
      </c>
      <c r="O14">
        <v>1000000</v>
      </c>
      <c r="P14">
        <v>0</v>
      </c>
      <c r="Q14">
        <v>11195000</v>
      </c>
      <c r="R14">
        <v>10600000</v>
      </c>
      <c r="S14">
        <v>1360000</v>
      </c>
    </row>
    <row r="15" spans="1:19" x14ac:dyDescent="0.25">
      <c r="A15">
        <v>2039</v>
      </c>
      <c r="B15">
        <v>7650000</v>
      </c>
      <c r="C15">
        <v>2610000</v>
      </c>
      <c r="D15">
        <v>112000</v>
      </c>
      <c r="E15">
        <v>6290000</v>
      </c>
      <c r="F15">
        <v>12950000</v>
      </c>
      <c r="G15">
        <v>5400000</v>
      </c>
      <c r="H15">
        <v>0</v>
      </c>
      <c r="I15">
        <v>0</v>
      </c>
      <c r="J15">
        <v>260000</v>
      </c>
      <c r="K15">
        <v>2000000</v>
      </c>
      <c r="L15">
        <v>450000</v>
      </c>
      <c r="M15">
        <v>0</v>
      </c>
      <c r="N15">
        <v>800000</v>
      </c>
      <c r="O15">
        <v>1000000</v>
      </c>
      <c r="P15">
        <v>0</v>
      </c>
      <c r="Q15">
        <v>11195000</v>
      </c>
      <c r="R15">
        <v>10600000</v>
      </c>
      <c r="S15">
        <v>1360000</v>
      </c>
    </row>
    <row r="16" spans="1:19" x14ac:dyDescent="0.25">
      <c r="A16">
        <v>2040</v>
      </c>
      <c r="B16">
        <v>7650000</v>
      </c>
      <c r="C16">
        <v>2610000</v>
      </c>
      <c r="D16">
        <v>112000</v>
      </c>
      <c r="E16">
        <v>6290000</v>
      </c>
      <c r="F16">
        <v>12950000</v>
      </c>
      <c r="G16">
        <v>5400000</v>
      </c>
      <c r="H16">
        <v>0</v>
      </c>
      <c r="I16">
        <v>0</v>
      </c>
      <c r="J16">
        <v>260000</v>
      </c>
      <c r="K16">
        <v>2000000</v>
      </c>
      <c r="L16">
        <v>450000</v>
      </c>
      <c r="M16">
        <v>0</v>
      </c>
      <c r="N16">
        <v>800000</v>
      </c>
      <c r="O16">
        <v>1000000</v>
      </c>
      <c r="P16">
        <v>0</v>
      </c>
      <c r="Q16">
        <v>11195000</v>
      </c>
      <c r="R16">
        <v>10600000</v>
      </c>
      <c r="S16">
        <v>1360000</v>
      </c>
    </row>
    <row r="17" spans="1:19" x14ac:dyDescent="0.25">
      <c r="A17">
        <v>2041</v>
      </c>
      <c r="B17">
        <v>7650000</v>
      </c>
      <c r="C17">
        <v>2610000</v>
      </c>
      <c r="D17">
        <v>112000</v>
      </c>
      <c r="E17">
        <v>6290000</v>
      </c>
      <c r="F17">
        <v>12950000</v>
      </c>
      <c r="G17">
        <v>5400000</v>
      </c>
      <c r="H17">
        <v>0</v>
      </c>
      <c r="I17">
        <v>0</v>
      </c>
      <c r="J17">
        <v>260000</v>
      </c>
      <c r="K17">
        <v>2000000</v>
      </c>
      <c r="L17">
        <v>450000</v>
      </c>
      <c r="M17">
        <v>0</v>
      </c>
      <c r="N17">
        <v>800000</v>
      </c>
      <c r="O17">
        <v>1000000</v>
      </c>
      <c r="P17">
        <v>0</v>
      </c>
      <c r="Q17">
        <v>11195000</v>
      </c>
      <c r="R17">
        <v>10600000</v>
      </c>
      <c r="S17">
        <v>1360000</v>
      </c>
    </row>
    <row r="18" spans="1:19" x14ac:dyDescent="0.25">
      <c r="A18">
        <v>2042</v>
      </c>
      <c r="B18">
        <v>7650000</v>
      </c>
      <c r="C18">
        <v>2610000</v>
      </c>
      <c r="D18">
        <v>112000</v>
      </c>
      <c r="E18">
        <v>6290000</v>
      </c>
      <c r="F18">
        <v>12950000</v>
      </c>
      <c r="G18">
        <v>5400000</v>
      </c>
      <c r="H18">
        <v>0</v>
      </c>
      <c r="I18">
        <v>0</v>
      </c>
      <c r="J18">
        <v>260000</v>
      </c>
      <c r="K18">
        <v>2000000</v>
      </c>
      <c r="L18">
        <v>450000</v>
      </c>
      <c r="M18">
        <v>0</v>
      </c>
      <c r="N18">
        <v>800000</v>
      </c>
      <c r="O18">
        <v>1000000</v>
      </c>
      <c r="P18">
        <v>0</v>
      </c>
      <c r="Q18">
        <v>11195000</v>
      </c>
      <c r="R18">
        <v>10600000</v>
      </c>
      <c r="S18">
        <v>1360000</v>
      </c>
    </row>
    <row r="19" spans="1:19" x14ac:dyDescent="0.25">
      <c r="A19">
        <v>2043</v>
      </c>
      <c r="B19">
        <v>7650000</v>
      </c>
      <c r="C19">
        <v>2610000</v>
      </c>
      <c r="D19">
        <v>112000</v>
      </c>
      <c r="E19">
        <v>6290000</v>
      </c>
      <c r="F19">
        <v>12950000</v>
      </c>
      <c r="G19">
        <v>5400000</v>
      </c>
      <c r="H19">
        <v>0</v>
      </c>
      <c r="I19">
        <v>0</v>
      </c>
      <c r="J19">
        <v>260000</v>
      </c>
      <c r="K19">
        <v>2000000</v>
      </c>
      <c r="L19">
        <v>450000</v>
      </c>
      <c r="M19">
        <v>0</v>
      </c>
      <c r="N19">
        <v>800000</v>
      </c>
      <c r="O19">
        <v>1000000</v>
      </c>
      <c r="P19">
        <v>0</v>
      </c>
      <c r="Q19">
        <v>11195000</v>
      </c>
      <c r="R19">
        <v>10600000</v>
      </c>
      <c r="S19">
        <v>1360000</v>
      </c>
    </row>
    <row r="20" spans="1:19" x14ac:dyDescent="0.25">
      <c r="A20">
        <v>2044</v>
      </c>
      <c r="B20">
        <v>7650000</v>
      </c>
      <c r="C20">
        <v>2610000</v>
      </c>
      <c r="D20">
        <v>112000</v>
      </c>
      <c r="E20">
        <v>6290000</v>
      </c>
      <c r="F20">
        <v>12950000</v>
      </c>
      <c r="G20">
        <v>5400000</v>
      </c>
      <c r="H20">
        <v>0</v>
      </c>
      <c r="I20">
        <v>0</v>
      </c>
      <c r="J20">
        <v>260000</v>
      </c>
      <c r="K20">
        <v>2000000</v>
      </c>
      <c r="L20">
        <v>450000</v>
      </c>
      <c r="M20">
        <v>0</v>
      </c>
      <c r="N20">
        <v>800000</v>
      </c>
      <c r="O20">
        <v>1000000</v>
      </c>
      <c r="P20">
        <v>0</v>
      </c>
      <c r="Q20">
        <v>11195000</v>
      </c>
      <c r="R20">
        <v>10600000</v>
      </c>
      <c r="S20">
        <v>1360000</v>
      </c>
    </row>
    <row r="21" spans="1:19" x14ac:dyDescent="0.25">
      <c r="A21">
        <v>2045</v>
      </c>
      <c r="B21">
        <v>7650000</v>
      </c>
      <c r="C21">
        <v>2610000</v>
      </c>
      <c r="D21">
        <v>112000</v>
      </c>
      <c r="E21">
        <v>6290000</v>
      </c>
      <c r="F21">
        <v>12950000</v>
      </c>
      <c r="G21">
        <v>5400000</v>
      </c>
      <c r="H21">
        <v>0</v>
      </c>
      <c r="I21">
        <v>0</v>
      </c>
      <c r="J21">
        <v>260000</v>
      </c>
      <c r="K21">
        <v>2000000</v>
      </c>
      <c r="L21">
        <v>450000</v>
      </c>
      <c r="M21">
        <v>0</v>
      </c>
      <c r="N21">
        <v>800000</v>
      </c>
      <c r="O21">
        <v>1000000</v>
      </c>
      <c r="P21">
        <v>0</v>
      </c>
      <c r="Q21">
        <v>11195000</v>
      </c>
      <c r="R21">
        <v>10600000</v>
      </c>
      <c r="S21">
        <v>1360000</v>
      </c>
    </row>
    <row r="22" spans="1:19" x14ac:dyDescent="0.25">
      <c r="A22">
        <v>2046</v>
      </c>
      <c r="B22">
        <v>7650000</v>
      </c>
      <c r="C22">
        <v>2610000</v>
      </c>
      <c r="D22">
        <v>112000</v>
      </c>
      <c r="E22">
        <v>6290000</v>
      </c>
      <c r="F22">
        <v>12950000</v>
      </c>
      <c r="G22">
        <v>5400000</v>
      </c>
      <c r="H22">
        <v>0</v>
      </c>
      <c r="I22">
        <v>0</v>
      </c>
      <c r="J22">
        <v>260000</v>
      </c>
      <c r="K22">
        <v>2000000</v>
      </c>
      <c r="L22">
        <v>450000</v>
      </c>
      <c r="M22">
        <v>0</v>
      </c>
      <c r="N22">
        <v>800000</v>
      </c>
      <c r="O22">
        <v>1000000</v>
      </c>
      <c r="P22">
        <v>0</v>
      </c>
      <c r="Q22">
        <v>11195000</v>
      </c>
      <c r="R22">
        <v>10600000</v>
      </c>
      <c r="S22">
        <v>1360000</v>
      </c>
    </row>
    <row r="23" spans="1:19" x14ac:dyDescent="0.25">
      <c r="A23">
        <v>2047</v>
      </c>
      <c r="B23">
        <v>7650000</v>
      </c>
      <c r="C23">
        <v>2610000</v>
      </c>
      <c r="D23">
        <v>112000</v>
      </c>
      <c r="E23">
        <v>6290000</v>
      </c>
      <c r="F23">
        <v>12950000</v>
      </c>
      <c r="G23">
        <v>5400000</v>
      </c>
      <c r="H23">
        <v>0</v>
      </c>
      <c r="I23">
        <v>0</v>
      </c>
      <c r="J23">
        <v>260000</v>
      </c>
      <c r="K23">
        <v>2000000</v>
      </c>
      <c r="L23">
        <v>450000</v>
      </c>
      <c r="M23">
        <v>0</v>
      </c>
      <c r="N23">
        <v>800000</v>
      </c>
      <c r="O23">
        <v>1000000</v>
      </c>
      <c r="P23">
        <v>0</v>
      </c>
      <c r="Q23">
        <v>11195000</v>
      </c>
      <c r="R23">
        <v>10600000</v>
      </c>
      <c r="S23">
        <v>1360000</v>
      </c>
    </row>
    <row r="24" spans="1:19" x14ac:dyDescent="0.25">
      <c r="A24">
        <v>2048</v>
      </c>
      <c r="B24">
        <v>7650000</v>
      </c>
      <c r="C24">
        <v>2610000</v>
      </c>
      <c r="D24">
        <v>112000</v>
      </c>
      <c r="E24">
        <v>6290000</v>
      </c>
      <c r="F24">
        <v>12950000</v>
      </c>
      <c r="G24">
        <v>5400000</v>
      </c>
      <c r="H24">
        <v>0</v>
      </c>
      <c r="I24">
        <v>0</v>
      </c>
      <c r="J24">
        <v>260000</v>
      </c>
      <c r="K24">
        <v>2000000</v>
      </c>
      <c r="L24">
        <v>450000</v>
      </c>
      <c r="M24">
        <v>0</v>
      </c>
      <c r="N24">
        <v>800000</v>
      </c>
      <c r="O24">
        <v>1000000</v>
      </c>
      <c r="P24">
        <v>0</v>
      </c>
      <c r="Q24">
        <v>11195000</v>
      </c>
      <c r="R24">
        <v>10600000</v>
      </c>
      <c r="S24">
        <v>1360000</v>
      </c>
    </row>
    <row r="25" spans="1:19" x14ac:dyDescent="0.25">
      <c r="A25">
        <v>2049</v>
      </c>
      <c r="B25">
        <v>7650000</v>
      </c>
      <c r="C25">
        <v>2610000</v>
      </c>
      <c r="D25">
        <v>112000</v>
      </c>
      <c r="E25">
        <v>6290000</v>
      </c>
      <c r="F25">
        <v>12950000</v>
      </c>
      <c r="G25">
        <v>5400000</v>
      </c>
      <c r="H25">
        <v>0</v>
      </c>
      <c r="I25">
        <v>0</v>
      </c>
      <c r="J25">
        <v>260000</v>
      </c>
      <c r="K25">
        <v>2000000</v>
      </c>
      <c r="L25">
        <v>450000</v>
      </c>
      <c r="M25">
        <v>0</v>
      </c>
      <c r="N25">
        <v>800000</v>
      </c>
      <c r="O25">
        <v>1000000</v>
      </c>
      <c r="P25">
        <v>0</v>
      </c>
      <c r="Q25">
        <v>11195000</v>
      </c>
      <c r="R25">
        <v>10600000</v>
      </c>
      <c r="S25">
        <v>1360000</v>
      </c>
    </row>
    <row r="26" spans="1:19" x14ac:dyDescent="0.25">
      <c r="A26">
        <v>2050</v>
      </c>
      <c r="B26">
        <v>7650000</v>
      </c>
      <c r="C26">
        <v>2610000</v>
      </c>
      <c r="D26">
        <v>112000</v>
      </c>
      <c r="E26">
        <v>6290000</v>
      </c>
      <c r="F26">
        <v>12950000</v>
      </c>
      <c r="G26">
        <v>5400000</v>
      </c>
      <c r="H26">
        <v>0</v>
      </c>
      <c r="I26">
        <v>0</v>
      </c>
      <c r="J26">
        <v>260000</v>
      </c>
      <c r="K26">
        <v>2000000</v>
      </c>
      <c r="L26">
        <v>450000</v>
      </c>
      <c r="M26">
        <v>0</v>
      </c>
      <c r="N26">
        <v>800000</v>
      </c>
      <c r="O26">
        <v>1000000</v>
      </c>
      <c r="P26">
        <v>0</v>
      </c>
      <c r="Q26">
        <v>11195000</v>
      </c>
      <c r="R26">
        <v>10600000</v>
      </c>
      <c r="S26">
        <v>1360000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079C-E0FE-4643-9E48-5AE3F12A3520}">
  <dimension ref="A1:E217"/>
  <sheetViews>
    <sheetView topLeftCell="A190" workbookViewId="0">
      <selection activeCell="F209" sqref="F209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23</v>
      </c>
      <c r="C1" s="1" t="s">
        <v>66</v>
      </c>
      <c r="D1" s="1" t="s">
        <v>76</v>
      </c>
      <c r="E1" s="1" t="s">
        <v>67</v>
      </c>
    </row>
    <row r="2" spans="1:5" x14ac:dyDescent="0.25">
      <c r="A2">
        <v>2026</v>
      </c>
      <c r="B2" t="s">
        <v>29</v>
      </c>
      <c r="C2" t="s">
        <v>30</v>
      </c>
      <c r="D2" t="s">
        <v>78</v>
      </c>
      <c r="E2">
        <v>91.346707935673805</v>
      </c>
    </row>
    <row r="3" spans="1:5" x14ac:dyDescent="0.25">
      <c r="A3">
        <v>2026</v>
      </c>
      <c r="B3" t="s">
        <v>38</v>
      </c>
      <c r="C3" t="s">
        <v>30</v>
      </c>
      <c r="D3" t="s">
        <v>78</v>
      </c>
      <c r="E3">
        <v>0</v>
      </c>
    </row>
    <row r="4" spans="1:5" x14ac:dyDescent="0.25">
      <c r="A4">
        <v>2026</v>
      </c>
      <c r="B4" t="s">
        <v>38</v>
      </c>
      <c r="C4" t="s">
        <v>29</v>
      </c>
      <c r="D4" t="s">
        <v>78</v>
      </c>
      <c r="E4">
        <v>0</v>
      </c>
    </row>
    <row r="5" spans="1:5" x14ac:dyDescent="0.25">
      <c r="A5">
        <v>2026</v>
      </c>
      <c r="B5" t="s">
        <v>30</v>
      </c>
      <c r="C5" t="s">
        <v>29</v>
      </c>
      <c r="D5" t="s">
        <v>78</v>
      </c>
      <c r="E5">
        <v>0</v>
      </c>
    </row>
    <row r="6" spans="1:5" x14ac:dyDescent="0.25">
      <c r="A6">
        <v>2026</v>
      </c>
      <c r="B6" t="s">
        <v>30</v>
      </c>
      <c r="C6" t="s">
        <v>38</v>
      </c>
      <c r="D6" t="s">
        <v>78</v>
      </c>
      <c r="E6">
        <v>11.812967958185389</v>
      </c>
    </row>
    <row r="7" spans="1:5" x14ac:dyDescent="0.25">
      <c r="A7">
        <v>2026</v>
      </c>
      <c r="B7" t="s">
        <v>29</v>
      </c>
      <c r="C7" t="s">
        <v>38</v>
      </c>
      <c r="D7" t="s">
        <v>78</v>
      </c>
      <c r="E7">
        <v>141.4333423124618</v>
      </c>
    </row>
    <row r="8" spans="1:5" x14ac:dyDescent="0.25">
      <c r="A8">
        <v>2026</v>
      </c>
      <c r="B8" t="s">
        <v>29</v>
      </c>
      <c r="C8" t="s">
        <v>29</v>
      </c>
      <c r="D8" t="s">
        <v>78</v>
      </c>
      <c r="E8">
        <v>2.67</v>
      </c>
    </row>
    <row r="9" spans="1:5" x14ac:dyDescent="0.25">
      <c r="A9">
        <v>2026</v>
      </c>
      <c r="B9" t="s">
        <v>38</v>
      </c>
      <c r="C9" t="s">
        <v>38</v>
      </c>
      <c r="D9" t="s">
        <v>78</v>
      </c>
      <c r="E9">
        <v>404.81599481948882</v>
      </c>
    </row>
    <row r="10" spans="1:5" x14ac:dyDescent="0.25">
      <c r="A10">
        <v>2026</v>
      </c>
      <c r="B10" t="s">
        <v>30</v>
      </c>
      <c r="C10" t="s">
        <v>30</v>
      </c>
      <c r="D10" t="s">
        <v>78</v>
      </c>
      <c r="E10">
        <v>100.8502920643262</v>
      </c>
    </row>
    <row r="11" spans="1:5" x14ac:dyDescent="0.25">
      <c r="A11">
        <v>2030</v>
      </c>
      <c r="B11" t="s">
        <v>29</v>
      </c>
      <c r="C11" t="s">
        <v>30</v>
      </c>
      <c r="D11" t="s">
        <v>78</v>
      </c>
      <c r="E11">
        <v>28.073099119979691</v>
      </c>
    </row>
    <row r="12" spans="1:5" x14ac:dyDescent="0.25">
      <c r="A12">
        <v>2030</v>
      </c>
      <c r="B12" t="s">
        <v>38</v>
      </c>
      <c r="C12" t="s">
        <v>30</v>
      </c>
      <c r="D12" t="s">
        <v>78</v>
      </c>
      <c r="E12">
        <v>0</v>
      </c>
    </row>
    <row r="13" spans="1:5" x14ac:dyDescent="0.25">
      <c r="A13">
        <v>2030</v>
      </c>
      <c r="B13" t="s">
        <v>38</v>
      </c>
      <c r="C13" t="s">
        <v>29</v>
      </c>
      <c r="D13" t="s">
        <v>78</v>
      </c>
      <c r="E13">
        <v>0</v>
      </c>
    </row>
    <row r="14" spans="1:5" x14ac:dyDescent="0.25">
      <c r="A14">
        <v>2030</v>
      </c>
      <c r="B14" t="s">
        <v>30</v>
      </c>
      <c r="C14" t="s">
        <v>29</v>
      </c>
      <c r="D14" t="s">
        <v>78</v>
      </c>
      <c r="E14">
        <v>0</v>
      </c>
    </row>
    <row r="15" spans="1:5" x14ac:dyDescent="0.25">
      <c r="A15">
        <v>2030</v>
      </c>
      <c r="B15" t="s">
        <v>30</v>
      </c>
      <c r="C15" t="s">
        <v>38</v>
      </c>
      <c r="D15" t="s">
        <v>78</v>
      </c>
      <c r="E15">
        <v>9.8816510339669801</v>
      </c>
    </row>
    <row r="16" spans="1:5" x14ac:dyDescent="0.25">
      <c r="A16">
        <v>2030</v>
      </c>
      <c r="B16" t="s">
        <v>29</v>
      </c>
      <c r="C16" t="s">
        <v>38</v>
      </c>
      <c r="D16" t="s">
        <v>78</v>
      </c>
      <c r="E16">
        <v>118.31022806854629</v>
      </c>
    </row>
    <row r="17" spans="1:5" x14ac:dyDescent="0.25">
      <c r="A17">
        <v>2030</v>
      </c>
      <c r="B17" t="s">
        <v>29</v>
      </c>
      <c r="C17" t="s">
        <v>29</v>
      </c>
      <c r="D17" t="s">
        <v>78</v>
      </c>
      <c r="E17">
        <v>2.14</v>
      </c>
    </row>
    <row r="18" spans="1:5" x14ac:dyDescent="0.25">
      <c r="A18">
        <v>2030</v>
      </c>
      <c r="B18" t="s">
        <v>38</v>
      </c>
      <c r="C18" t="s">
        <v>38</v>
      </c>
      <c r="D18" t="s">
        <v>78</v>
      </c>
      <c r="E18">
        <v>338.63212089748669</v>
      </c>
    </row>
    <row r="19" spans="1:5" x14ac:dyDescent="0.25">
      <c r="A19">
        <v>2030</v>
      </c>
      <c r="B19" t="s">
        <v>30</v>
      </c>
      <c r="C19" t="s">
        <v>30</v>
      </c>
      <c r="D19" t="s">
        <v>78</v>
      </c>
      <c r="E19">
        <v>30.993785210020299</v>
      </c>
    </row>
    <row r="20" spans="1:5" x14ac:dyDescent="0.25">
      <c r="A20">
        <v>2035</v>
      </c>
      <c r="B20" t="s">
        <v>29</v>
      </c>
      <c r="C20" t="s">
        <v>30</v>
      </c>
      <c r="D20" t="s">
        <v>78</v>
      </c>
      <c r="E20">
        <v>27.939162342756621</v>
      </c>
    </row>
    <row r="21" spans="1:5" x14ac:dyDescent="0.25">
      <c r="A21">
        <v>2035</v>
      </c>
      <c r="B21" t="s">
        <v>38</v>
      </c>
      <c r="C21" t="s">
        <v>30</v>
      </c>
      <c r="D21" t="s">
        <v>78</v>
      </c>
      <c r="E21">
        <v>0</v>
      </c>
    </row>
    <row r="22" spans="1:5" x14ac:dyDescent="0.25">
      <c r="A22">
        <v>2035</v>
      </c>
      <c r="B22" t="s">
        <v>38</v>
      </c>
      <c r="C22" t="s">
        <v>29</v>
      </c>
      <c r="D22" t="s">
        <v>78</v>
      </c>
      <c r="E22">
        <v>0</v>
      </c>
    </row>
    <row r="23" spans="1:5" x14ac:dyDescent="0.25">
      <c r="A23">
        <v>2035</v>
      </c>
      <c r="B23" t="s">
        <v>30</v>
      </c>
      <c r="C23" t="s">
        <v>29</v>
      </c>
      <c r="D23" t="s">
        <v>78</v>
      </c>
      <c r="E23">
        <v>0</v>
      </c>
    </row>
    <row r="24" spans="1:5" x14ac:dyDescent="0.25">
      <c r="A24">
        <v>2035</v>
      </c>
      <c r="B24" t="s">
        <v>30</v>
      </c>
      <c r="C24" t="s">
        <v>38</v>
      </c>
      <c r="D24" t="s">
        <v>78</v>
      </c>
      <c r="E24">
        <v>6.951367170491487</v>
      </c>
    </row>
    <row r="25" spans="1:5" x14ac:dyDescent="0.25">
      <c r="A25">
        <v>2035</v>
      </c>
      <c r="B25" t="s">
        <v>29</v>
      </c>
      <c r="C25" t="s">
        <v>38</v>
      </c>
      <c r="D25" t="s">
        <v>78</v>
      </c>
      <c r="E25">
        <v>83.226763675633933</v>
      </c>
    </row>
    <row r="26" spans="1:5" x14ac:dyDescent="0.25">
      <c r="A26">
        <v>2035</v>
      </c>
      <c r="B26" t="s">
        <v>29</v>
      </c>
      <c r="C26" t="s">
        <v>29</v>
      </c>
      <c r="D26" t="s">
        <v>78</v>
      </c>
      <c r="E26">
        <v>1.6</v>
      </c>
    </row>
    <row r="27" spans="1:5" x14ac:dyDescent="0.25">
      <c r="A27">
        <v>2035</v>
      </c>
      <c r="B27" t="s">
        <v>38</v>
      </c>
      <c r="C27" t="s">
        <v>38</v>
      </c>
      <c r="D27" t="s">
        <v>78</v>
      </c>
      <c r="E27">
        <v>238.2148691538745</v>
      </c>
    </row>
    <row r="28" spans="1:5" x14ac:dyDescent="0.25">
      <c r="A28">
        <v>2035</v>
      </c>
      <c r="B28" t="s">
        <v>30</v>
      </c>
      <c r="C28" t="s">
        <v>30</v>
      </c>
      <c r="D28" t="s">
        <v>78</v>
      </c>
      <c r="E28">
        <v>30.845913837243369</v>
      </c>
    </row>
    <row r="29" spans="1:5" x14ac:dyDescent="0.25">
      <c r="A29" s="11">
        <v>2040</v>
      </c>
      <c r="B29" s="11" t="s">
        <v>29</v>
      </c>
      <c r="C29" s="11" t="s">
        <v>30</v>
      </c>
      <c r="D29" t="s">
        <v>78</v>
      </c>
      <c r="E29">
        <v>47.013994948645028</v>
      </c>
    </row>
    <row r="30" spans="1:5" x14ac:dyDescent="0.25">
      <c r="A30" s="11">
        <v>2040</v>
      </c>
      <c r="B30" s="11" t="s">
        <v>38</v>
      </c>
      <c r="C30" s="11" t="s">
        <v>30</v>
      </c>
      <c r="D30" t="s">
        <v>78</v>
      </c>
      <c r="E30">
        <v>0</v>
      </c>
    </row>
    <row r="31" spans="1:5" x14ac:dyDescent="0.25">
      <c r="A31" s="11">
        <v>2040</v>
      </c>
      <c r="B31" s="11" t="s">
        <v>38</v>
      </c>
      <c r="C31" s="11" t="s">
        <v>29</v>
      </c>
      <c r="D31" t="s">
        <v>78</v>
      </c>
      <c r="E31">
        <v>0</v>
      </c>
    </row>
    <row r="32" spans="1:5" x14ac:dyDescent="0.25">
      <c r="A32" s="11">
        <v>2040</v>
      </c>
      <c r="B32" s="11" t="s">
        <v>30</v>
      </c>
      <c r="C32" s="11" t="s">
        <v>29</v>
      </c>
      <c r="D32" t="s">
        <v>78</v>
      </c>
      <c r="E32">
        <v>0</v>
      </c>
    </row>
    <row r="33" spans="1:5" x14ac:dyDescent="0.25">
      <c r="A33" s="11">
        <v>2040</v>
      </c>
      <c r="B33" s="11" t="s">
        <v>30</v>
      </c>
      <c r="C33" s="11" t="s">
        <v>38</v>
      </c>
      <c r="D33" t="s">
        <v>78</v>
      </c>
      <c r="E33">
        <v>5.3565405287568293</v>
      </c>
    </row>
    <row r="34" spans="1:5" x14ac:dyDescent="0.25">
      <c r="A34" s="11">
        <v>2040</v>
      </c>
      <c r="B34" s="11" t="s">
        <v>29</v>
      </c>
      <c r="C34" s="11" t="s">
        <v>38</v>
      </c>
      <c r="D34" t="s">
        <v>78</v>
      </c>
      <c r="E34">
        <v>64.132352927385313</v>
      </c>
    </row>
    <row r="35" spans="1:5" x14ac:dyDescent="0.25">
      <c r="A35" s="11">
        <v>2040</v>
      </c>
      <c r="B35" t="s">
        <v>29</v>
      </c>
      <c r="C35" t="s">
        <v>29</v>
      </c>
      <c r="D35" t="s">
        <v>78</v>
      </c>
      <c r="E35">
        <v>1.07</v>
      </c>
    </row>
    <row r="36" spans="1:5" x14ac:dyDescent="0.25">
      <c r="A36" s="11">
        <v>2040</v>
      </c>
      <c r="B36" t="s">
        <v>38</v>
      </c>
      <c r="C36" t="s">
        <v>38</v>
      </c>
      <c r="D36" t="s">
        <v>78</v>
      </c>
      <c r="E36">
        <v>183.56210654385791</v>
      </c>
    </row>
    <row r="37" spans="1:5" x14ac:dyDescent="0.25">
      <c r="A37" s="11">
        <v>2040</v>
      </c>
      <c r="B37" t="s">
        <v>30</v>
      </c>
      <c r="C37" t="s">
        <v>30</v>
      </c>
      <c r="D37" t="s">
        <v>78</v>
      </c>
      <c r="E37">
        <v>51.90526543135497</v>
      </c>
    </row>
    <row r="38" spans="1:5" x14ac:dyDescent="0.25">
      <c r="A38" s="11">
        <v>2045</v>
      </c>
      <c r="B38" s="11" t="s">
        <v>29</v>
      </c>
      <c r="C38" s="11" t="s">
        <v>30</v>
      </c>
      <c r="D38" t="s">
        <v>78</v>
      </c>
      <c r="E38">
        <v>50.179985896702192</v>
      </c>
    </row>
    <row r="39" spans="1:5" x14ac:dyDescent="0.25">
      <c r="A39" s="11">
        <v>2045</v>
      </c>
      <c r="B39" s="11" t="s">
        <v>38</v>
      </c>
      <c r="C39" s="11" t="s">
        <v>30</v>
      </c>
      <c r="D39" t="s">
        <v>78</v>
      </c>
      <c r="E39">
        <v>0</v>
      </c>
    </row>
    <row r="40" spans="1:5" x14ac:dyDescent="0.25">
      <c r="A40" s="11">
        <v>2045</v>
      </c>
      <c r="B40" s="11" t="s">
        <v>38</v>
      </c>
      <c r="C40" s="11" t="s">
        <v>29</v>
      </c>
      <c r="D40" t="s">
        <v>78</v>
      </c>
      <c r="E40">
        <v>0</v>
      </c>
    </row>
    <row r="41" spans="1:5" x14ac:dyDescent="0.25">
      <c r="A41" s="11">
        <v>2045</v>
      </c>
      <c r="B41" s="11" t="s">
        <v>30</v>
      </c>
      <c r="C41" s="11" t="s">
        <v>29</v>
      </c>
      <c r="D41" t="s">
        <v>78</v>
      </c>
      <c r="E41">
        <v>0</v>
      </c>
    </row>
    <row r="42" spans="1:5" x14ac:dyDescent="0.25">
      <c r="A42" s="11">
        <v>2045</v>
      </c>
      <c r="B42" s="11" t="s">
        <v>30</v>
      </c>
      <c r="C42" s="11" t="s">
        <v>38</v>
      </c>
      <c r="D42" t="s">
        <v>78</v>
      </c>
      <c r="E42">
        <v>4.1055641162215259</v>
      </c>
    </row>
    <row r="43" spans="1:5" x14ac:dyDescent="0.25">
      <c r="A43" s="11">
        <v>2045</v>
      </c>
      <c r="B43" s="11" t="s">
        <v>29</v>
      </c>
      <c r="C43" s="11" t="s">
        <v>38</v>
      </c>
      <c r="D43" t="s">
        <v>78</v>
      </c>
      <c r="E43">
        <v>49.154764246437132</v>
      </c>
    </row>
    <row r="44" spans="1:5" x14ac:dyDescent="0.25">
      <c r="A44" s="11">
        <v>2045</v>
      </c>
      <c r="B44" t="s">
        <v>29</v>
      </c>
      <c r="C44" t="s">
        <v>29</v>
      </c>
      <c r="D44" t="s">
        <v>78</v>
      </c>
      <c r="E44">
        <v>0.53</v>
      </c>
    </row>
    <row r="45" spans="1:5" x14ac:dyDescent="0.25">
      <c r="A45" s="11">
        <v>2045</v>
      </c>
      <c r="B45" t="s">
        <v>38</v>
      </c>
      <c r="C45" t="s">
        <v>38</v>
      </c>
      <c r="D45" t="s">
        <v>78</v>
      </c>
      <c r="E45">
        <v>140.69267163734131</v>
      </c>
    </row>
    <row r="46" spans="1:5" x14ac:dyDescent="0.25">
      <c r="A46" s="11">
        <v>2045</v>
      </c>
      <c r="B46" t="s">
        <v>30</v>
      </c>
      <c r="C46" t="s">
        <v>30</v>
      </c>
      <c r="D46" t="s">
        <v>78</v>
      </c>
      <c r="E46">
        <v>55.400641663297797</v>
      </c>
    </row>
    <row r="47" spans="1:5" x14ac:dyDescent="0.25">
      <c r="A47" s="11">
        <v>2050</v>
      </c>
      <c r="B47" s="11" t="s">
        <v>29</v>
      </c>
      <c r="C47" s="11" t="s">
        <v>30</v>
      </c>
      <c r="D47" t="s">
        <v>78</v>
      </c>
      <c r="E47">
        <v>47.501061705512093</v>
      </c>
    </row>
    <row r="48" spans="1:5" x14ac:dyDescent="0.25">
      <c r="A48" s="11">
        <v>2050</v>
      </c>
      <c r="B48" s="11" t="s">
        <v>38</v>
      </c>
      <c r="C48" s="11" t="s">
        <v>30</v>
      </c>
      <c r="D48" t="s">
        <v>78</v>
      </c>
      <c r="E48">
        <v>0</v>
      </c>
    </row>
    <row r="49" spans="1:5" x14ac:dyDescent="0.25">
      <c r="A49" s="11">
        <v>2050</v>
      </c>
      <c r="B49" s="11" t="s">
        <v>38</v>
      </c>
      <c r="C49" s="11" t="s">
        <v>29</v>
      </c>
      <c r="D49" t="s">
        <v>78</v>
      </c>
      <c r="E49">
        <v>0</v>
      </c>
    </row>
    <row r="50" spans="1:5" x14ac:dyDescent="0.25">
      <c r="A50" s="11">
        <v>2050</v>
      </c>
      <c r="B50" s="11" t="s">
        <v>30</v>
      </c>
      <c r="C50" s="11" t="s">
        <v>29</v>
      </c>
      <c r="D50" t="s">
        <v>78</v>
      </c>
      <c r="E50">
        <v>0</v>
      </c>
    </row>
    <row r="51" spans="1:5" x14ac:dyDescent="0.25">
      <c r="A51" s="11">
        <v>2050</v>
      </c>
      <c r="B51" s="11" t="s">
        <v>30</v>
      </c>
      <c r="C51" s="11" t="s">
        <v>38</v>
      </c>
      <c r="D51" t="s">
        <v>78</v>
      </c>
      <c r="E51">
        <v>3.905083599061522</v>
      </c>
    </row>
    <row r="52" spans="1:5" x14ac:dyDescent="0.25">
      <c r="A52" s="11">
        <v>2050</v>
      </c>
      <c r="B52" s="11" t="s">
        <v>29</v>
      </c>
      <c r="C52" s="11" t="s">
        <v>38</v>
      </c>
      <c r="D52" t="s">
        <v>78</v>
      </c>
      <c r="E52">
        <v>46.754467410719172</v>
      </c>
    </row>
    <row r="53" spans="1:5" x14ac:dyDescent="0.25">
      <c r="A53" s="11">
        <v>2050</v>
      </c>
      <c r="B53" t="s">
        <v>29</v>
      </c>
      <c r="C53" t="s">
        <v>29</v>
      </c>
      <c r="D53" t="s">
        <v>78</v>
      </c>
      <c r="E53">
        <v>0</v>
      </c>
    </row>
    <row r="54" spans="1:5" x14ac:dyDescent="0.25">
      <c r="A54" s="11">
        <v>2050</v>
      </c>
      <c r="B54" t="s">
        <v>38</v>
      </c>
      <c r="C54" t="s">
        <v>38</v>
      </c>
      <c r="D54" t="s">
        <v>78</v>
      </c>
      <c r="E54">
        <v>133.8224489902193</v>
      </c>
    </row>
    <row r="55" spans="1:5" x14ac:dyDescent="0.25">
      <c r="A55" s="11">
        <v>2050</v>
      </c>
      <c r="B55" t="s">
        <v>30</v>
      </c>
      <c r="C55" t="s">
        <v>30</v>
      </c>
      <c r="D55" t="s">
        <v>78</v>
      </c>
      <c r="E55">
        <v>52.443005934487907</v>
      </c>
    </row>
    <row r="56" spans="1:5" x14ac:dyDescent="0.25">
      <c r="A56">
        <v>2026</v>
      </c>
      <c r="B56" t="s">
        <v>29</v>
      </c>
      <c r="C56" t="s">
        <v>30</v>
      </c>
      <c r="D56" t="s">
        <v>77</v>
      </c>
      <c r="E56">
        <v>32.492749807386559</v>
      </c>
    </row>
    <row r="57" spans="1:5" x14ac:dyDescent="0.25">
      <c r="A57">
        <v>2026</v>
      </c>
      <c r="B57" t="s">
        <v>38</v>
      </c>
      <c r="C57" t="s">
        <v>30</v>
      </c>
      <c r="D57" t="s">
        <v>77</v>
      </c>
      <c r="E57">
        <v>0</v>
      </c>
    </row>
    <row r="58" spans="1:5" x14ac:dyDescent="0.25">
      <c r="A58">
        <v>2026</v>
      </c>
      <c r="B58" t="s">
        <v>38</v>
      </c>
      <c r="C58" t="s">
        <v>29</v>
      </c>
      <c r="D58" t="s">
        <v>77</v>
      </c>
      <c r="E58">
        <v>0</v>
      </c>
    </row>
    <row r="59" spans="1:5" x14ac:dyDescent="0.25">
      <c r="A59">
        <v>2026</v>
      </c>
      <c r="B59" t="s">
        <v>30</v>
      </c>
      <c r="C59" t="s">
        <v>29</v>
      </c>
      <c r="D59" t="s">
        <v>77</v>
      </c>
      <c r="E59">
        <v>0</v>
      </c>
    </row>
    <row r="60" spans="1:5" x14ac:dyDescent="0.25">
      <c r="A60">
        <v>2026</v>
      </c>
      <c r="B60" t="s">
        <v>30</v>
      </c>
      <c r="C60" t="s">
        <v>38</v>
      </c>
      <c r="D60" t="s">
        <v>77</v>
      </c>
      <c r="E60">
        <v>18.717144561125838</v>
      </c>
    </row>
    <row r="61" spans="1:5" x14ac:dyDescent="0.25">
      <c r="A61">
        <v>2026</v>
      </c>
      <c r="B61" t="s">
        <v>29</v>
      </c>
      <c r="C61" t="s">
        <v>38</v>
      </c>
      <c r="D61" t="s">
        <v>77</v>
      </c>
      <c r="E61">
        <v>224.09510659776549</v>
      </c>
    </row>
    <row r="62" spans="1:5" x14ac:dyDescent="0.25">
      <c r="A62">
        <v>2026</v>
      </c>
      <c r="B62" t="s">
        <v>29</v>
      </c>
      <c r="C62" t="s">
        <v>29</v>
      </c>
      <c r="D62" t="s">
        <v>77</v>
      </c>
      <c r="E62">
        <v>7.7777777777777777</v>
      </c>
    </row>
    <row r="63" spans="1:5" x14ac:dyDescent="0.25">
      <c r="A63">
        <v>2026</v>
      </c>
      <c r="B63" t="s">
        <v>38</v>
      </c>
      <c r="C63" t="s">
        <v>38</v>
      </c>
      <c r="D63" t="s">
        <v>77</v>
      </c>
      <c r="E63">
        <v>641.41370081700052</v>
      </c>
    </row>
    <row r="64" spans="1:5" x14ac:dyDescent="0.25">
      <c r="A64">
        <v>2026</v>
      </c>
      <c r="B64" t="s">
        <v>30</v>
      </c>
      <c r="C64" t="s">
        <v>30</v>
      </c>
      <c r="D64" t="s">
        <v>77</v>
      </c>
      <c r="E64">
        <v>35.873250192613433</v>
      </c>
    </row>
    <row r="65" spans="1:5" x14ac:dyDescent="0.25">
      <c r="A65">
        <v>2030</v>
      </c>
      <c r="B65" t="s">
        <v>29</v>
      </c>
      <c r="C65" t="s">
        <v>30</v>
      </c>
      <c r="D65" t="s">
        <v>77</v>
      </c>
      <c r="E65">
        <v>39.832212400033853</v>
      </c>
    </row>
    <row r="66" spans="1:5" x14ac:dyDescent="0.25">
      <c r="A66">
        <v>2030</v>
      </c>
      <c r="B66" t="s">
        <v>38</v>
      </c>
      <c r="C66" t="s">
        <v>30</v>
      </c>
      <c r="D66" t="s">
        <v>77</v>
      </c>
      <c r="E66">
        <v>0</v>
      </c>
    </row>
    <row r="67" spans="1:5" x14ac:dyDescent="0.25">
      <c r="A67">
        <v>2030</v>
      </c>
      <c r="B67" t="s">
        <v>38</v>
      </c>
      <c r="C67" t="s">
        <v>29</v>
      </c>
      <c r="D67" t="s">
        <v>77</v>
      </c>
      <c r="E67">
        <v>0</v>
      </c>
    </row>
    <row r="68" spans="1:5" x14ac:dyDescent="0.25">
      <c r="A68">
        <v>2030</v>
      </c>
      <c r="B68" t="s">
        <v>30</v>
      </c>
      <c r="C68" t="s">
        <v>29</v>
      </c>
      <c r="D68" t="s">
        <v>77</v>
      </c>
      <c r="E68">
        <v>0</v>
      </c>
    </row>
    <row r="69" spans="1:5" x14ac:dyDescent="0.25">
      <c r="A69">
        <v>2030</v>
      </c>
      <c r="B69" t="s">
        <v>30</v>
      </c>
      <c r="C69" t="s">
        <v>38</v>
      </c>
      <c r="D69" t="s">
        <v>77</v>
      </c>
      <c r="E69">
        <v>14.610653842703581</v>
      </c>
    </row>
    <row r="70" spans="1:5" x14ac:dyDescent="0.25">
      <c r="A70">
        <v>2030</v>
      </c>
      <c r="B70" t="s">
        <v>29</v>
      </c>
      <c r="C70" t="s">
        <v>38</v>
      </c>
      <c r="D70" t="s">
        <v>77</v>
      </c>
      <c r="E70">
        <v>174.92924840383711</v>
      </c>
    </row>
    <row r="71" spans="1:5" x14ac:dyDescent="0.25">
      <c r="A71">
        <v>2030</v>
      </c>
      <c r="B71" t="s">
        <v>29</v>
      </c>
      <c r="C71" t="s">
        <v>29</v>
      </c>
      <c r="D71" t="s">
        <v>77</v>
      </c>
      <c r="E71">
        <v>5.9722222222222223</v>
      </c>
    </row>
    <row r="72" spans="1:5" x14ac:dyDescent="0.25">
      <c r="A72">
        <v>2030</v>
      </c>
      <c r="B72" t="s">
        <v>38</v>
      </c>
      <c r="C72" t="s">
        <v>38</v>
      </c>
      <c r="D72" t="s">
        <v>77</v>
      </c>
      <c r="E72">
        <v>500.68927565310952</v>
      </c>
    </row>
    <row r="73" spans="1:5" x14ac:dyDescent="0.25">
      <c r="A73">
        <v>2030</v>
      </c>
      <c r="B73" t="s">
        <v>30</v>
      </c>
      <c r="C73" t="s">
        <v>30</v>
      </c>
      <c r="D73" t="s">
        <v>77</v>
      </c>
      <c r="E73">
        <v>43.97630023996615</v>
      </c>
    </row>
    <row r="74" spans="1:5" x14ac:dyDescent="0.25">
      <c r="A74">
        <v>2035</v>
      </c>
      <c r="B74" t="s">
        <v>29</v>
      </c>
      <c r="C74" t="s">
        <v>30</v>
      </c>
      <c r="D74" t="s">
        <v>77</v>
      </c>
      <c r="E74">
        <v>23.706679694440709</v>
      </c>
    </row>
    <row r="75" spans="1:5" x14ac:dyDescent="0.25">
      <c r="A75">
        <v>2035</v>
      </c>
      <c r="B75" t="s">
        <v>38</v>
      </c>
      <c r="C75" t="s">
        <v>30</v>
      </c>
      <c r="D75" t="s">
        <v>77</v>
      </c>
      <c r="E75">
        <v>0</v>
      </c>
    </row>
    <row r="76" spans="1:5" x14ac:dyDescent="0.25">
      <c r="A76">
        <v>2035</v>
      </c>
      <c r="B76" t="s">
        <v>38</v>
      </c>
      <c r="C76" t="s">
        <v>29</v>
      </c>
      <c r="D76" t="s">
        <v>77</v>
      </c>
      <c r="E76">
        <v>0</v>
      </c>
    </row>
    <row r="77" spans="1:5" x14ac:dyDescent="0.25">
      <c r="A77">
        <v>2035</v>
      </c>
      <c r="B77" t="s">
        <v>30</v>
      </c>
      <c r="C77" t="s">
        <v>29</v>
      </c>
      <c r="D77" t="s">
        <v>77</v>
      </c>
      <c r="E77">
        <v>0</v>
      </c>
    </row>
    <row r="78" spans="1:5" x14ac:dyDescent="0.25">
      <c r="A78">
        <v>2035</v>
      </c>
      <c r="B78" t="s">
        <v>30</v>
      </c>
      <c r="C78" t="s">
        <v>38</v>
      </c>
      <c r="D78" t="s">
        <v>77</v>
      </c>
      <c r="E78">
        <v>10.90299599509941</v>
      </c>
    </row>
    <row r="79" spans="1:5" x14ac:dyDescent="0.25">
      <c r="A79">
        <v>2035</v>
      </c>
      <c r="B79" t="s">
        <v>29</v>
      </c>
      <c r="C79" t="s">
        <v>38</v>
      </c>
      <c r="D79" t="s">
        <v>77</v>
      </c>
      <c r="E79">
        <v>130.53850397839989</v>
      </c>
    </row>
    <row r="80" spans="1:5" x14ac:dyDescent="0.25">
      <c r="A80">
        <v>2035</v>
      </c>
      <c r="B80" t="s">
        <v>29</v>
      </c>
      <c r="C80" t="s">
        <v>29</v>
      </c>
      <c r="D80" t="s">
        <v>77</v>
      </c>
      <c r="E80">
        <v>4.166666666666667</v>
      </c>
    </row>
    <row r="81" spans="1:5" x14ac:dyDescent="0.25">
      <c r="A81">
        <v>2035</v>
      </c>
      <c r="B81" t="s">
        <v>38</v>
      </c>
      <c r="C81" t="s">
        <v>38</v>
      </c>
      <c r="D81" t="s">
        <v>77</v>
      </c>
      <c r="E81">
        <v>373.63236621756351</v>
      </c>
    </row>
    <row r="82" spans="1:5" x14ac:dyDescent="0.25">
      <c r="A82">
        <v>2035</v>
      </c>
      <c r="B82" t="s">
        <v>30</v>
      </c>
      <c r="C82" t="s">
        <v>30</v>
      </c>
      <c r="D82" t="s">
        <v>77</v>
      </c>
      <c r="E82">
        <v>26.17308959555929</v>
      </c>
    </row>
    <row r="83" spans="1:5" x14ac:dyDescent="0.25">
      <c r="A83" s="11">
        <v>2040</v>
      </c>
      <c r="B83" s="11" t="s">
        <v>29</v>
      </c>
      <c r="C83" s="11" t="s">
        <v>30</v>
      </c>
      <c r="D83" t="s">
        <v>77</v>
      </c>
      <c r="E83">
        <v>12.393484781787009</v>
      </c>
    </row>
    <row r="84" spans="1:5" x14ac:dyDescent="0.25">
      <c r="A84" s="11">
        <v>2040</v>
      </c>
      <c r="B84" s="11" t="s">
        <v>38</v>
      </c>
      <c r="C84" s="11" t="s">
        <v>30</v>
      </c>
      <c r="D84" t="s">
        <v>77</v>
      </c>
      <c r="E84">
        <v>0</v>
      </c>
    </row>
    <row r="85" spans="1:5" x14ac:dyDescent="0.25">
      <c r="A85" s="11">
        <v>2040</v>
      </c>
      <c r="B85" s="11" t="s">
        <v>38</v>
      </c>
      <c r="C85" s="11" t="s">
        <v>29</v>
      </c>
      <c r="D85" t="s">
        <v>77</v>
      </c>
      <c r="E85">
        <v>0</v>
      </c>
    </row>
    <row r="86" spans="1:5" x14ac:dyDescent="0.25">
      <c r="A86" s="11">
        <v>2040</v>
      </c>
      <c r="B86" s="11" t="s">
        <v>30</v>
      </c>
      <c r="C86" s="11" t="s">
        <v>29</v>
      </c>
      <c r="D86" t="s">
        <v>77</v>
      </c>
      <c r="E86">
        <v>0</v>
      </c>
    </row>
    <row r="87" spans="1:5" x14ac:dyDescent="0.25">
      <c r="A87" s="11">
        <v>2040</v>
      </c>
      <c r="B87" s="11" t="s">
        <v>30</v>
      </c>
      <c r="C87" s="11" t="s">
        <v>38</v>
      </c>
      <c r="D87" t="s">
        <v>77</v>
      </c>
      <c r="E87">
        <v>7.5610706908851792</v>
      </c>
    </row>
    <row r="88" spans="1:5" x14ac:dyDescent="0.25">
      <c r="A88" s="11">
        <v>2040</v>
      </c>
      <c r="B88" s="11" t="s">
        <v>29</v>
      </c>
      <c r="C88" s="11" t="s">
        <v>38</v>
      </c>
      <c r="D88" t="s">
        <v>77</v>
      </c>
      <c r="E88">
        <v>90.526572412455437</v>
      </c>
    </row>
    <row r="89" spans="1:5" x14ac:dyDescent="0.25">
      <c r="A89" s="11">
        <v>2040</v>
      </c>
      <c r="B89" t="s">
        <v>29</v>
      </c>
      <c r="C89" t="s">
        <v>29</v>
      </c>
      <c r="D89" t="s">
        <v>77</v>
      </c>
      <c r="E89">
        <v>4.166666666666667</v>
      </c>
    </row>
    <row r="90" spans="1:5" x14ac:dyDescent="0.25">
      <c r="A90" s="11">
        <v>2040</v>
      </c>
      <c r="B90" t="s">
        <v>38</v>
      </c>
      <c r="C90" t="s">
        <v>38</v>
      </c>
      <c r="D90" t="s">
        <v>77</v>
      </c>
      <c r="E90">
        <v>259.10866468661311</v>
      </c>
    </row>
    <row r="91" spans="1:5" x14ac:dyDescent="0.25">
      <c r="A91" s="11">
        <v>2040</v>
      </c>
      <c r="B91" t="s">
        <v>30</v>
      </c>
      <c r="C91" t="s">
        <v>30</v>
      </c>
      <c r="D91" t="s">
        <v>77</v>
      </c>
      <c r="E91">
        <v>13.682885658212991</v>
      </c>
    </row>
    <row r="92" spans="1:5" x14ac:dyDescent="0.25">
      <c r="A92" s="11">
        <v>2045</v>
      </c>
      <c r="B92" s="11" t="s">
        <v>29</v>
      </c>
      <c r="C92" s="11" t="s">
        <v>30</v>
      </c>
      <c r="D92" t="s">
        <v>77</v>
      </c>
      <c r="E92">
        <v>8.5006597557527961</v>
      </c>
    </row>
    <row r="93" spans="1:5" x14ac:dyDescent="0.25">
      <c r="A93" s="11">
        <v>2045</v>
      </c>
      <c r="B93" s="11" t="s">
        <v>38</v>
      </c>
      <c r="C93" s="11" t="s">
        <v>30</v>
      </c>
      <c r="D93" t="s">
        <v>77</v>
      </c>
      <c r="E93">
        <v>0</v>
      </c>
    </row>
    <row r="94" spans="1:5" x14ac:dyDescent="0.25">
      <c r="A94" s="11">
        <v>2045</v>
      </c>
      <c r="B94" s="11" t="s">
        <v>38</v>
      </c>
      <c r="C94" s="11" t="s">
        <v>29</v>
      </c>
      <c r="D94" t="s">
        <v>77</v>
      </c>
      <c r="E94">
        <v>0</v>
      </c>
    </row>
    <row r="95" spans="1:5" x14ac:dyDescent="0.25">
      <c r="A95" s="11">
        <v>2045</v>
      </c>
      <c r="B95" s="11" t="s">
        <v>30</v>
      </c>
      <c r="C95" s="11" t="s">
        <v>29</v>
      </c>
      <c r="D95" t="s">
        <v>77</v>
      </c>
      <c r="E95">
        <v>0</v>
      </c>
    </row>
    <row r="96" spans="1:5" x14ac:dyDescent="0.25">
      <c r="A96" s="11">
        <v>2045</v>
      </c>
      <c r="B96" s="11" t="s">
        <v>30</v>
      </c>
      <c r="C96" s="11" t="s">
        <v>38</v>
      </c>
      <c r="D96" t="s">
        <v>77</v>
      </c>
      <c r="E96">
        <v>5.6319616755606097</v>
      </c>
    </row>
    <row r="97" spans="1:5" x14ac:dyDescent="0.25">
      <c r="A97" s="11">
        <v>2045</v>
      </c>
      <c r="B97" s="11" t="s">
        <v>29</v>
      </c>
      <c r="C97" s="11" t="s">
        <v>38</v>
      </c>
      <c r="D97" t="s">
        <v>77</v>
      </c>
      <c r="E97">
        <v>67.429892840629407</v>
      </c>
    </row>
    <row r="98" spans="1:5" x14ac:dyDescent="0.25">
      <c r="A98" s="11">
        <v>2045</v>
      </c>
      <c r="B98" t="s">
        <v>29</v>
      </c>
      <c r="C98" t="s">
        <v>29</v>
      </c>
      <c r="D98" t="s">
        <v>77</v>
      </c>
      <c r="E98">
        <v>4.166666666666667</v>
      </c>
    </row>
    <row r="99" spans="1:5" x14ac:dyDescent="0.25">
      <c r="A99" s="11">
        <v>2045</v>
      </c>
      <c r="B99" t="s">
        <v>38</v>
      </c>
      <c r="C99" t="s">
        <v>38</v>
      </c>
      <c r="D99" t="s">
        <v>77</v>
      </c>
      <c r="E99">
        <v>193.00045310776611</v>
      </c>
    </row>
    <row r="100" spans="1:5" x14ac:dyDescent="0.25">
      <c r="A100" s="11">
        <v>2045</v>
      </c>
      <c r="B100" t="s">
        <v>30</v>
      </c>
      <c r="C100" t="s">
        <v>30</v>
      </c>
      <c r="D100" t="s">
        <v>77</v>
      </c>
      <c r="E100">
        <v>9.3850565442472025</v>
      </c>
    </row>
    <row r="101" spans="1:5" x14ac:dyDescent="0.25">
      <c r="A101" s="11">
        <v>2050</v>
      </c>
      <c r="B101" s="11" t="s">
        <v>29</v>
      </c>
      <c r="C101" s="11" t="s">
        <v>30</v>
      </c>
      <c r="D101" t="s">
        <v>77</v>
      </c>
      <c r="E101">
        <v>5.2945372674418714</v>
      </c>
    </row>
    <row r="102" spans="1:5" x14ac:dyDescent="0.25">
      <c r="A102" s="11">
        <v>2050</v>
      </c>
      <c r="B102" s="11" t="s">
        <v>38</v>
      </c>
      <c r="C102" s="11" t="s">
        <v>30</v>
      </c>
      <c r="D102" t="s">
        <v>77</v>
      </c>
      <c r="E102">
        <v>0</v>
      </c>
    </row>
    <row r="103" spans="1:5" x14ac:dyDescent="0.25">
      <c r="A103" s="11">
        <v>2050</v>
      </c>
      <c r="B103" s="11" t="s">
        <v>38</v>
      </c>
      <c r="C103" s="11" t="s">
        <v>29</v>
      </c>
      <c r="D103" t="s">
        <v>77</v>
      </c>
      <c r="E103">
        <v>0</v>
      </c>
    </row>
    <row r="104" spans="1:5" x14ac:dyDescent="0.25">
      <c r="A104" s="11">
        <v>2050</v>
      </c>
      <c r="B104" s="11" t="s">
        <v>30</v>
      </c>
      <c r="C104" s="11" t="s">
        <v>29</v>
      </c>
      <c r="D104" t="s">
        <v>77</v>
      </c>
      <c r="E104">
        <v>0</v>
      </c>
    </row>
    <row r="105" spans="1:5" x14ac:dyDescent="0.25">
      <c r="A105" s="11">
        <v>2050</v>
      </c>
      <c r="B105" s="11" t="s">
        <v>30</v>
      </c>
      <c r="C105" s="11" t="s">
        <v>38</v>
      </c>
      <c r="D105" t="s">
        <v>77</v>
      </c>
      <c r="E105">
        <v>5.4810375941911236</v>
      </c>
    </row>
    <row r="106" spans="1:5" x14ac:dyDescent="0.25">
      <c r="A106" s="11">
        <v>2050</v>
      </c>
      <c r="B106" s="11" t="s">
        <v>29</v>
      </c>
      <c r="C106" s="11" t="s">
        <v>38</v>
      </c>
      <c r="D106" t="s">
        <v>77</v>
      </c>
      <c r="E106">
        <v>65.622921270141603</v>
      </c>
    </row>
    <row r="107" spans="1:5" x14ac:dyDescent="0.25">
      <c r="A107" s="11">
        <v>2050</v>
      </c>
      <c r="B107" t="s">
        <v>29</v>
      </c>
      <c r="C107" t="s">
        <v>29</v>
      </c>
      <c r="D107" t="s">
        <v>77</v>
      </c>
      <c r="E107">
        <v>4.166666666666667</v>
      </c>
    </row>
    <row r="108" spans="1:5" x14ac:dyDescent="0.25">
      <c r="A108" s="11">
        <v>2050</v>
      </c>
      <c r="B108" t="s">
        <v>38</v>
      </c>
      <c r="C108" t="s">
        <v>38</v>
      </c>
      <c r="D108" t="s">
        <v>77</v>
      </c>
      <c r="E108">
        <v>187.8284690341556</v>
      </c>
    </row>
    <row r="109" spans="1:5" x14ac:dyDescent="0.25">
      <c r="A109" s="11">
        <v>2050</v>
      </c>
      <c r="B109" t="s">
        <v>30</v>
      </c>
      <c r="C109" t="s">
        <v>30</v>
      </c>
      <c r="D109" t="s">
        <v>77</v>
      </c>
      <c r="E109">
        <v>5.8453735425581277</v>
      </c>
    </row>
    <row r="110" spans="1:5" x14ac:dyDescent="0.25">
      <c r="A110">
        <v>2026</v>
      </c>
      <c r="B110" t="s">
        <v>29</v>
      </c>
      <c r="C110" t="s">
        <v>30</v>
      </c>
      <c r="D110" t="s">
        <v>79</v>
      </c>
      <c r="E110">
        <v>1.004259139674806</v>
      </c>
    </row>
    <row r="111" spans="1:5" x14ac:dyDescent="0.25">
      <c r="A111">
        <v>2026</v>
      </c>
      <c r="B111" t="s">
        <v>38</v>
      </c>
      <c r="C111" t="s">
        <v>30</v>
      </c>
      <c r="D111" t="s">
        <v>79</v>
      </c>
      <c r="E111">
        <v>0</v>
      </c>
    </row>
    <row r="112" spans="1:5" x14ac:dyDescent="0.25">
      <c r="A112">
        <v>2026</v>
      </c>
      <c r="B112" t="s">
        <v>38</v>
      </c>
      <c r="C112" t="s">
        <v>29</v>
      </c>
      <c r="D112" t="s">
        <v>79</v>
      </c>
      <c r="E112">
        <v>0</v>
      </c>
    </row>
    <row r="113" spans="1:5" x14ac:dyDescent="0.25">
      <c r="A113">
        <v>2026</v>
      </c>
      <c r="B113" t="s">
        <v>30</v>
      </c>
      <c r="C113" t="s">
        <v>29</v>
      </c>
      <c r="D113" t="s">
        <v>79</v>
      </c>
      <c r="E113">
        <v>0</v>
      </c>
    </row>
    <row r="114" spans="1:5" x14ac:dyDescent="0.25">
      <c r="A114">
        <v>2026</v>
      </c>
      <c r="B114" t="s">
        <v>30</v>
      </c>
      <c r="C114" t="s">
        <v>38</v>
      </c>
      <c r="D114" t="s">
        <v>79</v>
      </c>
      <c r="E114">
        <v>0.78632377625652949</v>
      </c>
    </row>
    <row r="115" spans="1:5" x14ac:dyDescent="0.25">
      <c r="A115">
        <v>2026</v>
      </c>
      <c r="B115" t="s">
        <v>29</v>
      </c>
      <c r="C115" t="s">
        <v>38</v>
      </c>
      <c r="D115" t="s">
        <v>79</v>
      </c>
      <c r="E115">
        <v>9.4144333760472563</v>
      </c>
    </row>
    <row r="116" spans="1:5" x14ac:dyDescent="0.25">
      <c r="A116">
        <v>2026</v>
      </c>
      <c r="B116" t="s">
        <v>29</v>
      </c>
      <c r="C116" t="s">
        <v>29</v>
      </c>
      <c r="D116" t="s">
        <v>79</v>
      </c>
      <c r="E116">
        <v>1.1111111111111109</v>
      </c>
    </row>
    <row r="117" spans="1:5" x14ac:dyDescent="0.25">
      <c r="A117">
        <v>2026</v>
      </c>
      <c r="B117" t="s">
        <v>38</v>
      </c>
      <c r="C117" t="s">
        <v>38</v>
      </c>
      <c r="D117" t="s">
        <v>79</v>
      </c>
      <c r="E117">
        <v>26.946356145403541</v>
      </c>
    </row>
    <row r="118" spans="1:5" x14ac:dyDescent="0.25">
      <c r="A118">
        <v>2026</v>
      </c>
      <c r="B118" t="s">
        <v>30</v>
      </c>
      <c r="C118" t="s">
        <v>30</v>
      </c>
      <c r="D118" t="s">
        <v>79</v>
      </c>
      <c r="E118">
        <v>1.108740860325194</v>
      </c>
    </row>
    <row r="119" spans="1:5" x14ac:dyDescent="0.25">
      <c r="A119">
        <v>2030</v>
      </c>
      <c r="B119" t="s">
        <v>29</v>
      </c>
      <c r="C119" t="s">
        <v>30</v>
      </c>
      <c r="D119" t="s">
        <v>79</v>
      </c>
      <c r="E119">
        <v>0.60312581554535216</v>
      </c>
    </row>
    <row r="120" spans="1:5" x14ac:dyDescent="0.25">
      <c r="A120">
        <v>2030</v>
      </c>
      <c r="B120" t="s">
        <v>38</v>
      </c>
      <c r="C120" t="s">
        <v>30</v>
      </c>
      <c r="D120" t="s">
        <v>79</v>
      </c>
      <c r="E120">
        <v>0</v>
      </c>
    </row>
    <row r="121" spans="1:5" x14ac:dyDescent="0.25">
      <c r="A121">
        <v>2030</v>
      </c>
      <c r="B121" t="s">
        <v>38</v>
      </c>
      <c r="C121" t="s">
        <v>29</v>
      </c>
      <c r="D121" t="s">
        <v>79</v>
      </c>
      <c r="E121">
        <v>0</v>
      </c>
    </row>
    <row r="122" spans="1:5" x14ac:dyDescent="0.25">
      <c r="A122">
        <v>2030</v>
      </c>
      <c r="B122" t="s">
        <v>30</v>
      </c>
      <c r="C122" t="s">
        <v>29</v>
      </c>
      <c r="D122" t="s">
        <v>79</v>
      </c>
      <c r="E122">
        <v>0</v>
      </c>
    </row>
    <row r="123" spans="1:5" x14ac:dyDescent="0.25">
      <c r="A123">
        <v>2030</v>
      </c>
      <c r="B123" t="s">
        <v>30</v>
      </c>
      <c r="C123" t="s">
        <v>38</v>
      </c>
      <c r="D123" t="s">
        <v>79</v>
      </c>
      <c r="E123">
        <v>1.4844705073478279</v>
      </c>
    </row>
    <row r="124" spans="1:5" x14ac:dyDescent="0.25">
      <c r="A124">
        <v>2030</v>
      </c>
      <c r="B124" t="s">
        <v>29</v>
      </c>
      <c r="C124" t="s">
        <v>38</v>
      </c>
      <c r="D124" t="s">
        <v>79</v>
      </c>
      <c r="E124">
        <v>17.773147795004309</v>
      </c>
    </row>
    <row r="125" spans="1:5" x14ac:dyDescent="0.25">
      <c r="A125">
        <v>2030</v>
      </c>
      <c r="B125" t="s">
        <v>29</v>
      </c>
      <c r="C125" t="s">
        <v>29</v>
      </c>
      <c r="D125" t="s">
        <v>79</v>
      </c>
      <c r="E125">
        <v>2.2222222222222219</v>
      </c>
    </row>
    <row r="126" spans="1:5" x14ac:dyDescent="0.25">
      <c r="A126">
        <v>2030</v>
      </c>
      <c r="B126" t="s">
        <v>38</v>
      </c>
      <c r="C126" t="s">
        <v>38</v>
      </c>
      <c r="D126" t="s">
        <v>79</v>
      </c>
      <c r="E126">
        <v>50.870992568451292</v>
      </c>
    </row>
    <row r="127" spans="1:5" x14ac:dyDescent="0.25">
      <c r="A127">
        <v>2030</v>
      </c>
      <c r="B127" t="s">
        <v>30</v>
      </c>
      <c r="C127" t="s">
        <v>30</v>
      </c>
      <c r="D127" t="s">
        <v>79</v>
      </c>
      <c r="E127">
        <v>0.66587418445464774</v>
      </c>
    </row>
    <row r="128" spans="1:5" x14ac:dyDescent="0.25">
      <c r="A128">
        <v>2035</v>
      </c>
      <c r="B128" t="s">
        <v>29</v>
      </c>
      <c r="C128" t="s">
        <v>30</v>
      </c>
      <c r="D128" t="s">
        <v>79</v>
      </c>
      <c r="E128">
        <v>0.93059128986430217</v>
      </c>
    </row>
    <row r="129" spans="1:5" x14ac:dyDescent="0.25">
      <c r="A129">
        <v>2035</v>
      </c>
      <c r="B129" t="s">
        <v>38</v>
      </c>
      <c r="C129" t="s">
        <v>30</v>
      </c>
      <c r="D129" t="s">
        <v>79</v>
      </c>
      <c r="E129">
        <v>0</v>
      </c>
    </row>
    <row r="130" spans="1:5" x14ac:dyDescent="0.25">
      <c r="A130">
        <v>2035</v>
      </c>
      <c r="B130" t="s">
        <v>38</v>
      </c>
      <c r="C130" t="s">
        <v>29</v>
      </c>
      <c r="D130" t="s">
        <v>79</v>
      </c>
      <c r="E130">
        <v>0</v>
      </c>
    </row>
    <row r="131" spans="1:5" x14ac:dyDescent="0.25">
      <c r="A131">
        <v>2035</v>
      </c>
      <c r="B131" t="s">
        <v>30</v>
      </c>
      <c r="C131" t="s">
        <v>29</v>
      </c>
      <c r="D131" t="s">
        <v>79</v>
      </c>
      <c r="E131">
        <v>0</v>
      </c>
    </row>
    <row r="132" spans="1:5" x14ac:dyDescent="0.25">
      <c r="A132">
        <v>2035</v>
      </c>
      <c r="B132" t="s">
        <v>30</v>
      </c>
      <c r="C132" t="s">
        <v>38</v>
      </c>
      <c r="D132" t="s">
        <v>79</v>
      </c>
      <c r="E132">
        <v>1.470180788882288</v>
      </c>
    </row>
    <row r="133" spans="1:5" x14ac:dyDescent="0.25">
      <c r="A133">
        <v>2035</v>
      </c>
      <c r="B133" t="s">
        <v>29</v>
      </c>
      <c r="C133" t="s">
        <v>38</v>
      </c>
      <c r="D133" t="s">
        <v>79</v>
      </c>
      <c r="E133">
        <v>17.602061015590419</v>
      </c>
    </row>
    <row r="134" spans="1:5" x14ac:dyDescent="0.25">
      <c r="A134">
        <v>2035</v>
      </c>
      <c r="B134" t="s">
        <v>29</v>
      </c>
      <c r="C134" t="s">
        <v>29</v>
      </c>
      <c r="D134" t="s">
        <v>79</v>
      </c>
      <c r="E134">
        <v>3.333333333333333</v>
      </c>
    </row>
    <row r="135" spans="1:5" x14ac:dyDescent="0.25">
      <c r="A135">
        <v>2035</v>
      </c>
      <c r="B135" t="s">
        <v>38</v>
      </c>
      <c r="C135" t="s">
        <v>38</v>
      </c>
      <c r="D135" t="s">
        <v>79</v>
      </c>
      <c r="E135">
        <v>50.381301356488777</v>
      </c>
    </row>
    <row r="136" spans="1:5" x14ac:dyDescent="0.25">
      <c r="A136">
        <v>2035</v>
      </c>
      <c r="B136" t="s">
        <v>30</v>
      </c>
      <c r="C136" t="s">
        <v>30</v>
      </c>
      <c r="D136" t="s">
        <v>79</v>
      </c>
      <c r="E136">
        <v>1.0274087101356979</v>
      </c>
    </row>
    <row r="137" spans="1:5" x14ac:dyDescent="0.25">
      <c r="A137" s="11">
        <v>2040</v>
      </c>
      <c r="B137" s="11" t="s">
        <v>29</v>
      </c>
      <c r="C137" s="11" t="s">
        <v>30</v>
      </c>
      <c r="D137" t="s">
        <v>79</v>
      </c>
      <c r="E137">
        <v>1.0047235227889539</v>
      </c>
    </row>
    <row r="138" spans="1:5" x14ac:dyDescent="0.25">
      <c r="A138" s="11">
        <v>2040</v>
      </c>
      <c r="B138" s="11" t="s">
        <v>38</v>
      </c>
      <c r="C138" s="11" t="s">
        <v>30</v>
      </c>
      <c r="D138" t="s">
        <v>79</v>
      </c>
      <c r="E138">
        <v>0</v>
      </c>
    </row>
    <row r="139" spans="1:5" x14ac:dyDescent="0.25">
      <c r="A139" s="11">
        <v>2040</v>
      </c>
      <c r="B139" s="11" t="s">
        <v>38</v>
      </c>
      <c r="C139" s="11" t="s">
        <v>29</v>
      </c>
      <c r="D139" t="s">
        <v>79</v>
      </c>
      <c r="E139">
        <v>0</v>
      </c>
    </row>
    <row r="140" spans="1:5" x14ac:dyDescent="0.25">
      <c r="A140" s="11">
        <v>2040</v>
      </c>
      <c r="B140" s="11" t="s">
        <v>30</v>
      </c>
      <c r="C140" s="11" t="s">
        <v>29</v>
      </c>
      <c r="D140" t="s">
        <v>79</v>
      </c>
      <c r="E140">
        <v>0</v>
      </c>
    </row>
    <row r="141" spans="1:5" x14ac:dyDescent="0.25">
      <c r="A141" s="11">
        <v>2040</v>
      </c>
      <c r="B141" s="11" t="s">
        <v>30</v>
      </c>
      <c r="C141" s="11" t="s">
        <v>38</v>
      </c>
      <c r="D141" t="s">
        <v>79</v>
      </c>
      <c r="E141">
        <v>0.89285945878639206</v>
      </c>
    </row>
    <row r="142" spans="1:5" x14ac:dyDescent="0.25">
      <c r="A142" s="11">
        <v>2040</v>
      </c>
      <c r="B142" s="11" t="s">
        <v>29</v>
      </c>
      <c r="C142" s="11" t="s">
        <v>38</v>
      </c>
      <c r="D142" t="s">
        <v>79</v>
      </c>
      <c r="E142">
        <v>10.68995513392159</v>
      </c>
    </row>
    <row r="143" spans="1:5" x14ac:dyDescent="0.25">
      <c r="A143" s="11">
        <v>2040</v>
      </c>
      <c r="B143" t="s">
        <v>29</v>
      </c>
      <c r="C143" t="s">
        <v>29</v>
      </c>
      <c r="D143" t="s">
        <v>79</v>
      </c>
      <c r="E143">
        <v>3.8888888888888888</v>
      </c>
    </row>
    <row r="144" spans="1:5" x14ac:dyDescent="0.25">
      <c r="A144" s="11">
        <v>2040</v>
      </c>
      <c r="B144" t="s">
        <v>38</v>
      </c>
      <c r="C144" t="s">
        <v>38</v>
      </c>
      <c r="D144" t="s">
        <v>79</v>
      </c>
      <c r="E144">
        <v>30.597203964491701</v>
      </c>
    </row>
    <row r="145" spans="1:5" x14ac:dyDescent="0.25">
      <c r="A145" s="11">
        <v>2040</v>
      </c>
      <c r="B145" t="s">
        <v>30</v>
      </c>
      <c r="C145" t="s">
        <v>30</v>
      </c>
      <c r="D145" t="s">
        <v>79</v>
      </c>
      <c r="E145">
        <v>1.109253557211046</v>
      </c>
    </row>
    <row r="146" spans="1:5" x14ac:dyDescent="0.25">
      <c r="A146" s="11">
        <v>2045</v>
      </c>
      <c r="B146" s="11" t="s">
        <v>29</v>
      </c>
      <c r="C146" s="11" t="s">
        <v>30</v>
      </c>
      <c r="D146" t="s">
        <v>79</v>
      </c>
      <c r="E146">
        <v>0.59763945233474225</v>
      </c>
    </row>
    <row r="147" spans="1:5" x14ac:dyDescent="0.25">
      <c r="A147" s="11">
        <v>2045</v>
      </c>
      <c r="B147" s="11" t="s">
        <v>38</v>
      </c>
      <c r="C147" s="11" t="s">
        <v>30</v>
      </c>
      <c r="D147" t="s">
        <v>79</v>
      </c>
      <c r="E147">
        <v>0</v>
      </c>
    </row>
    <row r="148" spans="1:5" x14ac:dyDescent="0.25">
      <c r="A148" s="11">
        <v>2045</v>
      </c>
      <c r="B148" s="11" t="s">
        <v>38</v>
      </c>
      <c r="C148" s="11" t="s">
        <v>29</v>
      </c>
      <c r="D148" t="s">
        <v>79</v>
      </c>
      <c r="E148">
        <v>0</v>
      </c>
    </row>
    <row r="149" spans="1:5" x14ac:dyDescent="0.25">
      <c r="A149" s="11">
        <v>2045</v>
      </c>
      <c r="B149" s="11" t="s">
        <v>30</v>
      </c>
      <c r="C149" s="11" t="s">
        <v>29</v>
      </c>
      <c r="D149" t="s">
        <v>79</v>
      </c>
      <c r="E149">
        <v>0</v>
      </c>
    </row>
    <row r="150" spans="1:5" x14ac:dyDescent="0.25">
      <c r="A150" s="11">
        <v>2045</v>
      </c>
      <c r="B150" s="11" t="s">
        <v>30</v>
      </c>
      <c r="C150" s="11" t="s">
        <v>38</v>
      </c>
      <c r="D150" t="s">
        <v>79</v>
      </c>
      <c r="E150">
        <v>0.43653689984869187</v>
      </c>
    </row>
    <row r="151" spans="1:5" x14ac:dyDescent="0.25">
      <c r="A151" s="11">
        <v>2045</v>
      </c>
      <c r="B151" s="11" t="s">
        <v>29</v>
      </c>
      <c r="C151" s="11" t="s">
        <v>38</v>
      </c>
      <c r="D151" t="s">
        <v>79</v>
      </c>
      <c r="E151">
        <v>5.2265335017301622</v>
      </c>
    </row>
    <row r="152" spans="1:5" x14ac:dyDescent="0.25">
      <c r="A152" s="11">
        <v>2045</v>
      </c>
      <c r="B152" t="s">
        <v>29</v>
      </c>
      <c r="C152" t="s">
        <v>29</v>
      </c>
      <c r="D152" t="s">
        <v>79</v>
      </c>
      <c r="E152">
        <v>3.6111111111111112</v>
      </c>
    </row>
    <row r="153" spans="1:5" x14ac:dyDescent="0.25">
      <c r="A153" s="11">
        <v>2045</v>
      </c>
      <c r="B153" t="s">
        <v>38</v>
      </c>
      <c r="C153" t="s">
        <v>38</v>
      </c>
      <c r="D153" t="s">
        <v>79</v>
      </c>
      <c r="E153">
        <v>14.95958678743504</v>
      </c>
    </row>
    <row r="154" spans="1:5" x14ac:dyDescent="0.25">
      <c r="A154" s="11">
        <v>2045</v>
      </c>
      <c r="B154" t="s">
        <v>30</v>
      </c>
      <c r="C154" t="s">
        <v>30</v>
      </c>
      <c r="D154" t="s">
        <v>79</v>
      </c>
      <c r="E154">
        <v>0.65981702766525785</v>
      </c>
    </row>
    <row r="155" spans="1:5" x14ac:dyDescent="0.25">
      <c r="A155" s="11">
        <v>2050</v>
      </c>
      <c r="B155" s="11" t="s">
        <v>29</v>
      </c>
      <c r="C155" s="11" t="s">
        <v>30</v>
      </c>
      <c r="D155" t="s">
        <v>79</v>
      </c>
      <c r="E155">
        <v>0</v>
      </c>
    </row>
    <row r="156" spans="1:5" x14ac:dyDescent="0.25">
      <c r="A156" s="11">
        <v>2050</v>
      </c>
      <c r="B156" s="11" t="s">
        <v>38</v>
      </c>
      <c r="C156" s="11" t="s">
        <v>30</v>
      </c>
      <c r="D156" t="s">
        <v>79</v>
      </c>
      <c r="E156">
        <v>0</v>
      </c>
    </row>
    <row r="157" spans="1:5" x14ac:dyDescent="0.25">
      <c r="A157" s="11">
        <v>2050</v>
      </c>
      <c r="B157" s="11" t="s">
        <v>38</v>
      </c>
      <c r="C157" s="11" t="s">
        <v>29</v>
      </c>
      <c r="D157" t="s">
        <v>79</v>
      </c>
      <c r="E157">
        <v>0</v>
      </c>
    </row>
    <row r="158" spans="1:5" x14ac:dyDescent="0.25">
      <c r="A158" s="11">
        <v>2050</v>
      </c>
      <c r="B158" s="11" t="s">
        <v>30</v>
      </c>
      <c r="C158" s="11" t="s">
        <v>29</v>
      </c>
      <c r="D158" t="s">
        <v>79</v>
      </c>
      <c r="E158">
        <v>0</v>
      </c>
    </row>
    <row r="159" spans="1:5" x14ac:dyDescent="0.25">
      <c r="A159" s="11">
        <v>2050</v>
      </c>
      <c r="B159" s="11" t="s">
        <v>30</v>
      </c>
      <c r="C159" s="11" t="s">
        <v>38</v>
      </c>
      <c r="D159" t="s">
        <v>79</v>
      </c>
      <c r="E159">
        <v>0.26866807811826832</v>
      </c>
    </row>
    <row r="160" spans="1:5" x14ac:dyDescent="0.25">
      <c r="A160" s="11">
        <v>2050</v>
      </c>
      <c r="B160" s="11" t="s">
        <v>29</v>
      </c>
      <c r="C160" s="11" t="s">
        <v>38</v>
      </c>
      <c r="D160" t="s">
        <v>79</v>
      </c>
      <c r="E160">
        <v>3.2166873215466931</v>
      </c>
    </row>
    <row r="161" spans="1:5" x14ac:dyDescent="0.25">
      <c r="A161" s="11">
        <v>2050</v>
      </c>
      <c r="B161" t="s">
        <v>29</v>
      </c>
      <c r="C161" t="s">
        <v>29</v>
      </c>
      <c r="D161" t="s">
        <v>79</v>
      </c>
      <c r="E161">
        <v>3.333333333333333</v>
      </c>
    </row>
    <row r="162" spans="1:5" x14ac:dyDescent="0.25">
      <c r="A162" s="11">
        <v>2050</v>
      </c>
      <c r="B162" t="s">
        <v>38</v>
      </c>
      <c r="C162" t="s">
        <v>38</v>
      </c>
      <c r="D162" t="s">
        <v>79</v>
      </c>
      <c r="E162">
        <v>9.2069271418216783</v>
      </c>
    </row>
    <row r="163" spans="1:5" x14ac:dyDescent="0.25">
      <c r="A163" s="11">
        <v>2050</v>
      </c>
      <c r="B163" t="s">
        <v>30</v>
      </c>
      <c r="C163" t="s">
        <v>30</v>
      </c>
      <c r="D163" t="s">
        <v>79</v>
      </c>
      <c r="E163">
        <v>0</v>
      </c>
    </row>
    <row r="164" spans="1:5" x14ac:dyDescent="0.25">
      <c r="A164">
        <v>2026</v>
      </c>
      <c r="B164" t="s">
        <v>29</v>
      </c>
      <c r="C164" t="s">
        <v>30</v>
      </c>
      <c r="D164" t="s">
        <v>80</v>
      </c>
      <c r="E164">
        <v>164.75172986911201</v>
      </c>
    </row>
    <row r="165" spans="1:5" x14ac:dyDescent="0.25">
      <c r="A165">
        <v>2026</v>
      </c>
      <c r="B165" t="s">
        <v>38</v>
      </c>
      <c r="C165" t="s">
        <v>30</v>
      </c>
      <c r="D165" t="s">
        <v>80</v>
      </c>
      <c r="E165">
        <v>0</v>
      </c>
    </row>
    <row r="166" spans="1:5" x14ac:dyDescent="0.25">
      <c r="A166">
        <v>2026</v>
      </c>
      <c r="B166" t="s">
        <v>38</v>
      </c>
      <c r="C166" t="s">
        <v>29</v>
      </c>
      <c r="D166" t="s">
        <v>80</v>
      </c>
      <c r="E166">
        <v>0</v>
      </c>
    </row>
    <row r="167" spans="1:5" x14ac:dyDescent="0.25">
      <c r="A167">
        <v>2026</v>
      </c>
      <c r="B167" t="s">
        <v>30</v>
      </c>
      <c r="C167" t="s">
        <v>29</v>
      </c>
      <c r="D167" t="s">
        <v>80</v>
      </c>
      <c r="E167">
        <v>0</v>
      </c>
    </row>
    <row r="168" spans="1:5" x14ac:dyDescent="0.25">
      <c r="A168">
        <v>2026</v>
      </c>
      <c r="B168" t="s">
        <v>30</v>
      </c>
      <c r="C168" t="s">
        <v>38</v>
      </c>
      <c r="D168" t="s">
        <v>80</v>
      </c>
      <c r="E168">
        <v>24.141085746979751</v>
      </c>
    </row>
    <row r="169" spans="1:5" x14ac:dyDescent="0.25">
      <c r="A169">
        <v>2026</v>
      </c>
      <c r="B169" t="s">
        <v>29</v>
      </c>
      <c r="C169" t="s">
        <v>38</v>
      </c>
      <c r="D169" t="s">
        <v>80</v>
      </c>
      <c r="E169">
        <v>289.03442863240991</v>
      </c>
    </row>
    <row r="170" spans="1:5" x14ac:dyDescent="0.25">
      <c r="A170">
        <v>2026</v>
      </c>
      <c r="B170" t="s">
        <v>29</v>
      </c>
      <c r="C170" t="s">
        <v>29</v>
      </c>
      <c r="D170" t="s">
        <v>80</v>
      </c>
      <c r="E170">
        <v>3.6999999999999998E-2</v>
      </c>
    </row>
    <row r="171" spans="1:5" x14ac:dyDescent="0.25">
      <c r="A171">
        <v>2026</v>
      </c>
      <c r="B171" t="s">
        <v>38</v>
      </c>
      <c r="C171" t="s">
        <v>38</v>
      </c>
      <c r="D171" t="s">
        <v>80</v>
      </c>
      <c r="E171">
        <v>827.28554562061026</v>
      </c>
    </row>
    <row r="172" spans="1:5" x14ac:dyDescent="0.25">
      <c r="A172">
        <v>2026</v>
      </c>
      <c r="B172" t="s">
        <v>30</v>
      </c>
      <c r="C172" t="s">
        <v>30</v>
      </c>
      <c r="D172" t="s">
        <v>80</v>
      </c>
      <c r="E172">
        <v>181.89227013088811</v>
      </c>
    </row>
    <row r="173" spans="1:5" x14ac:dyDescent="0.25">
      <c r="A173">
        <v>2030</v>
      </c>
      <c r="B173" t="s">
        <v>29</v>
      </c>
      <c r="C173" t="s">
        <v>30</v>
      </c>
      <c r="D173" t="s">
        <v>80</v>
      </c>
      <c r="E173">
        <v>180.38285541545281</v>
      </c>
    </row>
    <row r="174" spans="1:5" x14ac:dyDescent="0.25">
      <c r="A174">
        <v>2030</v>
      </c>
      <c r="B174" t="s">
        <v>38</v>
      </c>
      <c r="C174" t="s">
        <v>30</v>
      </c>
      <c r="D174" t="s">
        <v>80</v>
      </c>
      <c r="E174">
        <v>0</v>
      </c>
    </row>
    <row r="175" spans="1:5" x14ac:dyDescent="0.25">
      <c r="A175">
        <v>2030</v>
      </c>
      <c r="B175" t="s">
        <v>38</v>
      </c>
      <c r="C175" t="s">
        <v>29</v>
      </c>
      <c r="D175" t="s">
        <v>80</v>
      </c>
      <c r="E175">
        <v>0</v>
      </c>
    </row>
    <row r="176" spans="1:5" x14ac:dyDescent="0.25">
      <c r="A176">
        <v>2030</v>
      </c>
      <c r="B176" t="s">
        <v>30</v>
      </c>
      <c r="C176" t="s">
        <v>29</v>
      </c>
      <c r="D176" t="s">
        <v>80</v>
      </c>
      <c r="E176">
        <v>0</v>
      </c>
    </row>
    <row r="177" spans="1:5" x14ac:dyDescent="0.25">
      <c r="A177">
        <v>2030</v>
      </c>
      <c r="B177" t="s">
        <v>30</v>
      </c>
      <c r="C177" t="s">
        <v>38</v>
      </c>
      <c r="D177" t="s">
        <v>80</v>
      </c>
      <c r="E177">
        <v>13.82385009432965</v>
      </c>
    </row>
    <row r="178" spans="1:5" x14ac:dyDescent="0.25">
      <c r="A178">
        <v>2030</v>
      </c>
      <c r="B178" t="s">
        <v>29</v>
      </c>
      <c r="C178" t="s">
        <v>38</v>
      </c>
      <c r="D178" t="s">
        <v>80</v>
      </c>
      <c r="E178">
        <v>165.5090684566469</v>
      </c>
    </row>
    <row r="179" spans="1:5" x14ac:dyDescent="0.25">
      <c r="A179">
        <v>2030</v>
      </c>
      <c r="B179" t="s">
        <v>29</v>
      </c>
      <c r="C179" t="s">
        <v>29</v>
      </c>
      <c r="D179" t="s">
        <v>80</v>
      </c>
      <c r="E179">
        <v>0</v>
      </c>
    </row>
    <row r="180" spans="1:5" x14ac:dyDescent="0.25">
      <c r="A180">
        <v>2030</v>
      </c>
      <c r="B180" t="s">
        <v>38</v>
      </c>
      <c r="C180" t="s">
        <v>38</v>
      </c>
      <c r="D180" t="s">
        <v>80</v>
      </c>
      <c r="E180">
        <v>473.72647144902339</v>
      </c>
    </row>
    <row r="181" spans="1:5" x14ac:dyDescent="0.25">
      <c r="A181">
        <v>2030</v>
      </c>
      <c r="B181" t="s">
        <v>30</v>
      </c>
      <c r="C181" t="s">
        <v>30</v>
      </c>
      <c r="D181" t="s">
        <v>80</v>
      </c>
      <c r="E181">
        <v>199.14963618454729</v>
      </c>
    </row>
    <row r="182" spans="1:5" x14ac:dyDescent="0.25">
      <c r="A182">
        <v>2035</v>
      </c>
      <c r="B182" t="s">
        <v>29</v>
      </c>
      <c r="C182" t="s">
        <v>30</v>
      </c>
      <c r="D182" t="s">
        <v>80</v>
      </c>
      <c r="E182">
        <v>140.6104754109173</v>
      </c>
    </row>
    <row r="183" spans="1:5" x14ac:dyDescent="0.25">
      <c r="A183">
        <v>2035</v>
      </c>
      <c r="B183" t="s">
        <v>38</v>
      </c>
      <c r="C183" t="s">
        <v>30</v>
      </c>
      <c r="D183" t="s">
        <v>80</v>
      </c>
      <c r="E183">
        <v>0</v>
      </c>
    </row>
    <row r="184" spans="1:5" x14ac:dyDescent="0.25">
      <c r="A184">
        <v>2035</v>
      </c>
      <c r="B184" t="s">
        <v>38</v>
      </c>
      <c r="C184" t="s">
        <v>29</v>
      </c>
      <c r="D184" t="s">
        <v>80</v>
      </c>
      <c r="E184">
        <v>0</v>
      </c>
    </row>
    <row r="185" spans="1:5" x14ac:dyDescent="0.25">
      <c r="A185">
        <v>2035</v>
      </c>
      <c r="B185" t="s">
        <v>30</v>
      </c>
      <c r="C185" t="s">
        <v>29</v>
      </c>
      <c r="D185" t="s">
        <v>80</v>
      </c>
      <c r="E185">
        <v>0</v>
      </c>
    </row>
    <row r="186" spans="1:5" x14ac:dyDescent="0.25">
      <c r="A186">
        <v>2035</v>
      </c>
      <c r="B186" t="s">
        <v>30</v>
      </c>
      <c r="C186" t="s">
        <v>38</v>
      </c>
      <c r="D186" t="s">
        <v>80</v>
      </c>
      <c r="E186">
        <v>5.6688297352257022</v>
      </c>
    </row>
    <row r="187" spans="1:5" x14ac:dyDescent="0.25">
      <c r="A187">
        <v>2035</v>
      </c>
      <c r="B187" t="s">
        <v>29</v>
      </c>
      <c r="C187" t="s">
        <v>38</v>
      </c>
      <c r="D187" t="s">
        <v>80</v>
      </c>
      <c r="E187">
        <v>67.871303747817734</v>
      </c>
    </row>
    <row r="188" spans="1:5" x14ac:dyDescent="0.25">
      <c r="A188">
        <v>2035</v>
      </c>
      <c r="B188" t="s">
        <v>29</v>
      </c>
      <c r="C188" t="s">
        <v>29</v>
      </c>
      <c r="D188" t="s">
        <v>80</v>
      </c>
      <c r="E188">
        <v>0</v>
      </c>
    </row>
    <row r="189" spans="1:5" x14ac:dyDescent="0.25">
      <c r="A189">
        <v>2035</v>
      </c>
      <c r="B189" t="s">
        <v>38</v>
      </c>
      <c r="C189" t="s">
        <v>38</v>
      </c>
      <c r="D189" t="s">
        <v>80</v>
      </c>
      <c r="E189">
        <v>194.2638765169566</v>
      </c>
    </row>
    <row r="190" spans="1:5" x14ac:dyDescent="0.25">
      <c r="A190">
        <v>2035</v>
      </c>
      <c r="B190" t="s">
        <v>30</v>
      </c>
      <c r="C190" t="s">
        <v>30</v>
      </c>
      <c r="D190" t="s">
        <v>80</v>
      </c>
      <c r="E190">
        <v>155.2393932190827</v>
      </c>
    </row>
    <row r="191" spans="1:5" x14ac:dyDescent="0.25">
      <c r="A191" s="11">
        <v>2040</v>
      </c>
      <c r="B191" s="11" t="s">
        <v>29</v>
      </c>
      <c r="C191" s="11" t="s">
        <v>30</v>
      </c>
      <c r="D191" t="s">
        <v>80</v>
      </c>
      <c r="E191">
        <v>77.982331301204681</v>
      </c>
    </row>
    <row r="192" spans="1:5" x14ac:dyDescent="0.25">
      <c r="A192" s="11">
        <v>2040</v>
      </c>
      <c r="B192" s="11" t="s">
        <v>38</v>
      </c>
      <c r="C192" s="11" t="s">
        <v>30</v>
      </c>
      <c r="D192" t="s">
        <v>80</v>
      </c>
      <c r="E192">
        <v>0</v>
      </c>
    </row>
    <row r="193" spans="1:5" x14ac:dyDescent="0.25">
      <c r="A193" s="11">
        <v>2040</v>
      </c>
      <c r="B193" s="11" t="s">
        <v>38</v>
      </c>
      <c r="C193" s="11" t="s">
        <v>29</v>
      </c>
      <c r="D193" t="s">
        <v>80</v>
      </c>
      <c r="E193">
        <v>0</v>
      </c>
    </row>
    <row r="194" spans="1:5" x14ac:dyDescent="0.25">
      <c r="A194" s="11">
        <v>2040</v>
      </c>
      <c r="B194" s="11" t="s">
        <v>30</v>
      </c>
      <c r="C194" s="11" t="s">
        <v>29</v>
      </c>
      <c r="D194" t="s">
        <v>80</v>
      </c>
      <c r="E194">
        <v>0</v>
      </c>
    </row>
    <row r="195" spans="1:5" x14ac:dyDescent="0.25">
      <c r="A195" s="11">
        <v>2040</v>
      </c>
      <c r="B195" s="11" t="s">
        <v>30</v>
      </c>
      <c r="C195" s="11" t="s">
        <v>38</v>
      </c>
      <c r="D195" t="s">
        <v>80</v>
      </c>
      <c r="E195">
        <v>1.6380941094450781</v>
      </c>
    </row>
    <row r="196" spans="1:5" x14ac:dyDescent="0.25">
      <c r="A196" s="11">
        <v>2040</v>
      </c>
      <c r="B196" s="11" t="s">
        <v>29</v>
      </c>
      <c r="C196" s="11" t="s">
        <v>38</v>
      </c>
      <c r="D196" t="s">
        <v>80</v>
      </c>
      <c r="E196">
        <v>19.612439967776059</v>
      </c>
    </row>
    <row r="197" spans="1:5" x14ac:dyDescent="0.25">
      <c r="A197" s="11">
        <v>2040</v>
      </c>
      <c r="B197" t="s">
        <v>29</v>
      </c>
      <c r="C197" t="s">
        <v>29</v>
      </c>
      <c r="D197" t="s">
        <v>80</v>
      </c>
      <c r="E197">
        <v>0</v>
      </c>
    </row>
    <row r="198" spans="1:5" x14ac:dyDescent="0.25">
      <c r="A198" s="11">
        <v>2040</v>
      </c>
      <c r="B198" t="s">
        <v>38</v>
      </c>
      <c r="C198" t="s">
        <v>38</v>
      </c>
      <c r="D198" t="s">
        <v>80</v>
      </c>
      <c r="E198">
        <v>56.135485922778869</v>
      </c>
    </row>
    <row r="199" spans="1:5" x14ac:dyDescent="0.25">
      <c r="A199" s="11">
        <v>2040</v>
      </c>
      <c r="B199" t="s">
        <v>30</v>
      </c>
      <c r="C199" t="s">
        <v>30</v>
      </c>
      <c r="D199" t="s">
        <v>80</v>
      </c>
      <c r="E199">
        <v>86.095504318795321</v>
      </c>
    </row>
    <row r="200" spans="1:5" x14ac:dyDescent="0.25">
      <c r="A200" s="11">
        <v>2045</v>
      </c>
      <c r="B200" s="11" t="s">
        <v>29</v>
      </c>
      <c r="C200" s="11" t="s">
        <v>30</v>
      </c>
      <c r="D200" t="s">
        <v>80</v>
      </c>
      <c r="E200">
        <v>29.42410936394722</v>
      </c>
    </row>
    <row r="201" spans="1:5" x14ac:dyDescent="0.25">
      <c r="A201" s="11">
        <v>2045</v>
      </c>
      <c r="B201" s="11" t="s">
        <v>38</v>
      </c>
      <c r="C201" s="11" t="s">
        <v>30</v>
      </c>
      <c r="D201" t="s">
        <v>80</v>
      </c>
      <c r="E201">
        <v>0</v>
      </c>
    </row>
    <row r="202" spans="1:5" x14ac:dyDescent="0.25">
      <c r="A202" s="11">
        <v>2045</v>
      </c>
      <c r="B202" s="11" t="s">
        <v>38</v>
      </c>
      <c r="C202" s="11" t="s">
        <v>29</v>
      </c>
      <c r="D202" t="s">
        <v>80</v>
      </c>
      <c r="E202">
        <v>0</v>
      </c>
    </row>
    <row r="203" spans="1:5" x14ac:dyDescent="0.25">
      <c r="A203" s="11">
        <v>2045</v>
      </c>
      <c r="B203" s="11" t="s">
        <v>30</v>
      </c>
      <c r="C203" s="11" t="s">
        <v>29</v>
      </c>
      <c r="D203" t="s">
        <v>80</v>
      </c>
      <c r="E203">
        <v>0</v>
      </c>
    </row>
    <row r="204" spans="1:5" x14ac:dyDescent="0.25">
      <c r="A204" s="11">
        <v>2045</v>
      </c>
      <c r="B204" s="11" t="s">
        <v>30</v>
      </c>
      <c r="C204" s="11" t="s">
        <v>38</v>
      </c>
      <c r="D204" t="s">
        <v>80</v>
      </c>
      <c r="E204">
        <v>1.9202185232449069</v>
      </c>
    </row>
    <row r="205" spans="1:5" x14ac:dyDescent="0.25">
      <c r="A205" s="11">
        <v>2045</v>
      </c>
      <c r="B205" s="11" t="s">
        <v>29</v>
      </c>
      <c r="C205" s="11" t="s">
        <v>38</v>
      </c>
      <c r="D205" t="s">
        <v>80</v>
      </c>
      <c r="E205">
        <v>22.99023621109907</v>
      </c>
    </row>
    <row r="206" spans="1:5" x14ac:dyDescent="0.25">
      <c r="A206" s="11">
        <v>2045</v>
      </c>
      <c r="B206" t="s">
        <v>29</v>
      </c>
      <c r="C206" t="s">
        <v>29</v>
      </c>
      <c r="D206" t="s">
        <v>80</v>
      </c>
      <c r="E206">
        <v>0</v>
      </c>
    </row>
    <row r="207" spans="1:5" x14ac:dyDescent="0.25">
      <c r="A207" s="11">
        <v>2045</v>
      </c>
      <c r="B207" t="s">
        <v>38</v>
      </c>
      <c r="C207" t="s">
        <v>38</v>
      </c>
      <c r="D207" t="s">
        <v>80</v>
      </c>
      <c r="E207">
        <v>65.803545265656012</v>
      </c>
    </row>
    <row r="208" spans="1:5" x14ac:dyDescent="0.25">
      <c r="A208" s="11">
        <v>2045</v>
      </c>
      <c r="B208" t="s">
        <v>30</v>
      </c>
      <c r="C208" t="s">
        <v>30</v>
      </c>
      <c r="D208" t="s">
        <v>80</v>
      </c>
      <c r="E208">
        <v>32.485352676052777</v>
      </c>
    </row>
    <row r="209" spans="1:5" x14ac:dyDescent="0.25">
      <c r="A209" s="11">
        <v>2050</v>
      </c>
      <c r="B209" s="11" t="s">
        <v>29</v>
      </c>
      <c r="C209" s="11" t="s">
        <v>30</v>
      </c>
      <c r="D209" t="s">
        <v>80</v>
      </c>
      <c r="E209">
        <v>1.328835503507124</v>
      </c>
    </row>
    <row r="210" spans="1:5" x14ac:dyDescent="0.25">
      <c r="A210" s="11">
        <v>2050</v>
      </c>
      <c r="B210" s="11" t="s">
        <v>38</v>
      </c>
      <c r="C210" s="11" t="s">
        <v>30</v>
      </c>
      <c r="D210" t="s">
        <v>80</v>
      </c>
      <c r="E210">
        <v>0</v>
      </c>
    </row>
    <row r="211" spans="1:5" x14ac:dyDescent="0.25">
      <c r="A211" s="11">
        <v>2050</v>
      </c>
      <c r="B211" s="11" t="s">
        <v>38</v>
      </c>
      <c r="C211" s="11" t="s">
        <v>29</v>
      </c>
      <c r="D211" t="s">
        <v>80</v>
      </c>
      <c r="E211">
        <v>0</v>
      </c>
    </row>
    <row r="212" spans="1:5" x14ac:dyDescent="0.25">
      <c r="A212" s="11">
        <v>2050</v>
      </c>
      <c r="B212" s="11" t="s">
        <v>30</v>
      </c>
      <c r="C212" s="11" t="s">
        <v>29</v>
      </c>
      <c r="D212" t="s">
        <v>80</v>
      </c>
      <c r="E212">
        <v>0</v>
      </c>
    </row>
    <row r="213" spans="1:5" x14ac:dyDescent="0.25">
      <c r="A213" s="11">
        <v>2050</v>
      </c>
      <c r="B213" s="11" t="s">
        <v>30</v>
      </c>
      <c r="C213" s="11" t="s">
        <v>38</v>
      </c>
      <c r="D213" t="s">
        <v>80</v>
      </c>
      <c r="E213">
        <v>1.945821436888173</v>
      </c>
    </row>
    <row r="214" spans="1:5" x14ac:dyDescent="0.25">
      <c r="A214" s="11">
        <v>2050</v>
      </c>
      <c r="B214" s="11" t="s">
        <v>29</v>
      </c>
      <c r="C214" s="11" t="s">
        <v>38</v>
      </c>
      <c r="D214" t="s">
        <v>80</v>
      </c>
      <c r="E214">
        <v>23.29677269391372</v>
      </c>
    </row>
    <row r="215" spans="1:5" x14ac:dyDescent="0.25">
      <c r="A215" s="11">
        <v>2050</v>
      </c>
      <c r="B215" t="s">
        <v>29</v>
      </c>
      <c r="C215" t="s">
        <v>29</v>
      </c>
      <c r="D215" t="s">
        <v>80</v>
      </c>
      <c r="E215">
        <v>0</v>
      </c>
    </row>
    <row r="216" spans="1:5" x14ac:dyDescent="0.25">
      <c r="A216" s="11">
        <v>2050</v>
      </c>
      <c r="B216" t="s">
        <v>38</v>
      </c>
      <c r="C216" t="s">
        <v>38</v>
      </c>
      <c r="D216" t="s">
        <v>80</v>
      </c>
      <c r="E216">
        <v>66.680925869198092</v>
      </c>
    </row>
    <row r="217" spans="1:5" x14ac:dyDescent="0.25">
      <c r="A217" s="11">
        <v>2050</v>
      </c>
      <c r="B217" t="s">
        <v>30</v>
      </c>
      <c r="C217" t="s">
        <v>30</v>
      </c>
      <c r="D217" t="s">
        <v>80</v>
      </c>
      <c r="E217">
        <v>1.4670856964928769</v>
      </c>
    </row>
  </sheetData>
  <pageMargins left="0.7" right="0.7" top="0.78740157499999996" bottom="0.78740157499999996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E4EC-E3E7-42F5-A9DB-0136E2BCE431}">
  <dimension ref="A1:C12"/>
  <sheetViews>
    <sheetView workbookViewId="0">
      <selection activeCell="C8" sqref="C8"/>
    </sheetView>
  </sheetViews>
  <sheetFormatPr baseColWidth="10" defaultRowHeight="15" x14ac:dyDescent="0.25"/>
  <sheetData>
    <row r="1" spans="1:3" x14ac:dyDescent="0.25">
      <c r="A1" s="1" t="s">
        <v>23</v>
      </c>
      <c r="B1" s="1" t="s">
        <v>66</v>
      </c>
      <c r="C1" s="1" t="s">
        <v>68</v>
      </c>
    </row>
    <row r="2" spans="1:3" x14ac:dyDescent="0.25">
      <c r="A2" t="s">
        <v>38</v>
      </c>
      <c r="B2" t="s">
        <v>30</v>
      </c>
      <c r="C2">
        <v>1200</v>
      </c>
    </row>
    <row r="3" spans="1:3" x14ac:dyDescent="0.25">
      <c r="A3" t="s">
        <v>38</v>
      </c>
      <c r="B3" t="s">
        <v>29</v>
      </c>
      <c r="C3">
        <v>1300</v>
      </c>
    </row>
    <row r="4" spans="1:3" x14ac:dyDescent="0.25">
      <c r="A4" t="s">
        <v>29</v>
      </c>
      <c r="B4" t="s">
        <v>30</v>
      </c>
      <c r="C4">
        <v>1100</v>
      </c>
    </row>
    <row r="5" spans="1:3" x14ac:dyDescent="0.25">
      <c r="A5" t="s">
        <v>29</v>
      </c>
      <c r="B5" t="s">
        <v>38</v>
      </c>
      <c r="C5">
        <v>1300</v>
      </c>
    </row>
    <row r="6" spans="1:3" x14ac:dyDescent="0.25">
      <c r="A6" t="s">
        <v>30</v>
      </c>
      <c r="B6" t="s">
        <v>29</v>
      </c>
      <c r="C6">
        <v>1100</v>
      </c>
    </row>
    <row r="7" spans="1:3" x14ac:dyDescent="0.25">
      <c r="A7" t="s">
        <v>30</v>
      </c>
      <c r="B7" t="s">
        <v>38</v>
      </c>
      <c r="C7">
        <v>1200</v>
      </c>
    </row>
    <row r="8" spans="1:3" x14ac:dyDescent="0.25">
      <c r="A8" t="s">
        <v>38</v>
      </c>
      <c r="B8" t="s">
        <v>38</v>
      </c>
      <c r="C8">
        <v>818</v>
      </c>
    </row>
    <row r="9" spans="1:3" x14ac:dyDescent="0.25">
      <c r="A9" t="s">
        <v>29</v>
      </c>
      <c r="B9" t="s">
        <v>29</v>
      </c>
      <c r="C9">
        <v>250</v>
      </c>
    </row>
    <row r="10" spans="1:3" x14ac:dyDescent="0.25">
      <c r="A10" t="s">
        <v>30</v>
      </c>
      <c r="B10" t="s">
        <v>30</v>
      </c>
      <c r="C10">
        <v>297</v>
      </c>
    </row>
    <row r="12" spans="1:3" x14ac:dyDescent="0.25">
      <c r="A12" t="s">
        <v>2</v>
      </c>
      <c r="B12" t="s">
        <v>69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7138-F43E-470A-BCDF-3CE08782F05D}">
  <dimension ref="A1:E3"/>
  <sheetViews>
    <sheetView workbookViewId="0">
      <selection activeCell="D3" sqref="D3"/>
    </sheetView>
  </sheetViews>
  <sheetFormatPr baseColWidth="10" defaultRowHeight="15" x14ac:dyDescent="0.25"/>
  <cols>
    <col min="1" max="1" width="17.140625" customWidth="1"/>
  </cols>
  <sheetData>
    <row r="1" spans="1:5" x14ac:dyDescent="0.25">
      <c r="A1" s="1" t="s">
        <v>70</v>
      </c>
      <c r="B1" s="1" t="s">
        <v>73</v>
      </c>
      <c r="C1" s="1" t="s">
        <v>74</v>
      </c>
      <c r="D1" s="1" t="s">
        <v>75</v>
      </c>
      <c r="E1" s="1" t="s">
        <v>83</v>
      </c>
    </row>
    <row r="2" spans="1:5" x14ac:dyDescent="0.25">
      <c r="A2" t="s">
        <v>71</v>
      </c>
      <c r="B2">
        <v>6.2E-2</v>
      </c>
      <c r="C2">
        <v>7.8E-2</v>
      </c>
      <c r="D2">
        <v>7.0000000000000007E-2</v>
      </c>
      <c r="E2">
        <v>0.9</v>
      </c>
    </row>
    <row r="3" spans="1:5" x14ac:dyDescent="0.25">
      <c r="A3" t="s">
        <v>72</v>
      </c>
      <c r="B3">
        <v>3.1E-2</v>
      </c>
      <c r="C3">
        <v>3.7999999999999999E-2</v>
      </c>
      <c r="D3">
        <v>3.4500000000000003E-2</v>
      </c>
      <c r="E3">
        <v>0.9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timeseries</vt:lpstr>
      <vt:lpstr>sink_blocks</vt:lpstr>
      <vt:lpstr>economic_cc_tech</vt:lpstr>
      <vt:lpstr>cc_tech</vt:lpstr>
      <vt:lpstr>cc_commited_cap</vt:lpstr>
      <vt:lpstr>ng_flows</vt:lpstr>
      <vt:lpstr>distances</vt:lpstr>
      <vt:lpstr>economic_transport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Oitzinger, Maximilian</dc:creator>
  <cp:lastModifiedBy>Max Oitzinger</cp:lastModifiedBy>
  <dcterms:created xsi:type="dcterms:W3CDTF">2026-09-09T07:18:09Z</dcterms:created>
  <dcterms:modified xsi:type="dcterms:W3CDTF">2026-10-08T17:36:41Z</dcterms:modified>
</cp:coreProperties>
</file>