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1d695511771a1/Desktop/Repositories/scm_model/"/>
    </mc:Choice>
  </mc:AlternateContent>
  <xr:revisionPtr revIDLastSave="0" documentId="8_{3A40659D-BCD2-43A2-82CD-73B630D64048}" xr6:coauthVersionLast="47" xr6:coauthVersionMax="47" xr10:uidLastSave="{00000000-0000-0000-0000-000000000000}"/>
  <bookViews>
    <workbookView xWindow="-120" yWindow="-120" windowWidth="38640" windowHeight="21120" activeTab="2" xr2:uid="{0EEA5388-3874-4828-8F25-ED94DFE85900}"/>
  </bookViews>
  <sheets>
    <sheet name="CAPEX Transformation" sheetId="1" r:id="rId1"/>
    <sheet name="cc_expansion" sheetId="3" r:id="rId2"/>
    <sheet name="Tabelle3" sheetId="4" r:id="rId3"/>
  </sheets>
  <definedNames>
    <definedName name="_xlnm._FilterDatabase" localSheetId="1" hidden="1">cc_expansion!$A$1:$A$168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3" l="1" a="1"/>
  <c r="H3" i="1"/>
  <c r="B15" i="1"/>
  <c r="K7" i="1"/>
  <c r="J7" i="1"/>
  <c r="I7" i="1"/>
  <c r="H7" i="1"/>
  <c r="H6" i="1"/>
  <c r="E6" i="1"/>
  <c r="K5" i="1"/>
  <c r="J5" i="1"/>
  <c r="I5" i="1"/>
  <c r="H5" i="1"/>
  <c r="K4" i="1"/>
  <c r="J4" i="1"/>
  <c r="I4" i="1"/>
  <c r="H4" i="1"/>
  <c r="K3" i="1"/>
  <c r="J3" i="1"/>
  <c r="I3" i="1"/>
  <c r="K2" i="1"/>
  <c r="J2" i="1"/>
  <c r="I2" i="1"/>
  <c r="H2" i="1"/>
  <c r="G22" i="1" l="1"/>
  <c r="G20" i="1"/>
  <c r="G19" i="1"/>
  <c r="G18" i="1"/>
  <c r="F22" i="1"/>
  <c r="F20" i="1"/>
  <c r="F19" i="1"/>
  <c r="F18" i="1"/>
  <c r="E22" i="1"/>
  <c r="F17" i="1"/>
  <c r="D22" i="1"/>
  <c r="D20" i="1"/>
  <c r="D18" i="1"/>
  <c r="E20" i="1"/>
  <c r="E19" i="1"/>
  <c r="E18" i="1"/>
  <c r="G17" i="1"/>
  <c r="E17" i="1"/>
  <c r="D21" i="1"/>
  <c r="D19" i="1"/>
  <c r="D17" i="1"/>
  <c r="F6" i="1"/>
  <c r="F21" i="1" s="1"/>
  <c r="E21" i="1"/>
  <c r="I6" i="1"/>
  <c r="G6" i="1"/>
  <c r="J6" i="1"/>
  <c r="K6" i="1" l="1"/>
  <c r="G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tc={3C2D8C53-38EA-4E90-851B-96BF914F2C36}</author>
    <author>tc={85B5A148-DAF6-46A2-AFB1-D664E31B895C}</author>
    <author>tc={D0E3BADE-A996-43C0-906F-0E6046633D0E}</author>
    <author>tc={A6E78016-D31A-4FE1-B6CC-DBFDE266072E}</author>
  </authors>
  <commentList>
    <comment ref="C1" authorId="0" shapeId="0" xr:uid="{3C2D8C53-38EA-4E90-851B-96BF914F2C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It makes no sense to break up costs based on EU27 v. UK v. NO, so either we aggregate together or we have to separate into much smaller juridictions/sub-regions with similar terrain, resources etc, climate. </t>
      </text>
    </comment>
    <comment ref="B6" authorId="1" shapeId="0" xr:uid="{85B5A148-DAF6-46A2-AFB1-D664E31B895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Need to double check the capex numbers and find a better source</t>
      </text>
    </comment>
    <comment ref="C16" authorId="2" shapeId="0" xr:uid="{D0E3BADE-A996-43C0-906F-0E6046633D0E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It makes no sense to break up costs based on EU27 v. UK v. NO, so either we aggregate together or we have to separate into much smaller juridictions/sub-regions with similar terrain, resources etc, climate. </t>
      </text>
    </comment>
    <comment ref="B21" authorId="3" shapeId="0" xr:uid="{A6E78016-D31A-4FE1-B6CC-DBFDE266072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Need to double check the capex numbers and find a better 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tc={AFE89BF4-07DA-4E92-B59A-8565686C0942}</author>
  </authors>
  <commentList>
    <comment ref="G1" authorId="0" shapeId="0" xr:uid="{AFE89BF4-07DA-4E92-B59A-8565686C094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These names are not the same we use across our datasheet, so would suggest renaming/recoding for consistency. Potentially delete sub-sectors that fall out of scope.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<sst xmlns="http://schemas.openxmlformats.org/spreadsheetml/2006/main" count="1029" uniqueCount="247">
  <si>
    <t>sector_i</t>
  </si>
  <si>
    <t>technology_k</t>
  </si>
  <si>
    <t>region</t>
  </si>
  <si>
    <t>capex_2026</t>
  </si>
  <si>
    <t>capex_2030</t>
  </si>
  <si>
    <t>capex_2040</t>
  </si>
  <si>
    <t>capex_2050</t>
  </si>
  <si>
    <t>opex_fix_2026</t>
  </si>
  <si>
    <t>opex_fix_2030</t>
  </si>
  <si>
    <t>opex_fix_2040</t>
  </si>
  <si>
    <t>opex_fix_2050</t>
  </si>
  <si>
    <t>eff_low</t>
  </si>
  <si>
    <t>eff_high</t>
  </si>
  <si>
    <t>eff_avg</t>
  </si>
  <si>
    <t>opex_var_2026</t>
  </si>
  <si>
    <t>opex_var_2030</t>
  </si>
  <si>
    <t>opex_var_2040</t>
  </si>
  <si>
    <t>opex_var_2050</t>
  </si>
  <si>
    <t>Industry_cement</t>
  </si>
  <si>
    <t>psc_cement</t>
  </si>
  <si>
    <t>All</t>
  </si>
  <si>
    <t>Industry_iron_steel</t>
  </si>
  <si>
    <t>psc_iron_steel</t>
  </si>
  <si>
    <t>Industry_chemicals</t>
  </si>
  <si>
    <t>psc_chemicals</t>
  </si>
  <si>
    <t>Industry_refining</t>
  </si>
  <si>
    <t>psc_refining</t>
  </si>
  <si>
    <t>Power</t>
  </si>
  <si>
    <t>psc_power</t>
  </si>
  <si>
    <t>Industry_other</t>
  </si>
  <si>
    <t>psc_otherindustry</t>
  </si>
  <si>
    <t>De-Annualize</t>
  </si>
  <si>
    <t>DR</t>
  </si>
  <si>
    <t>l</t>
  </si>
  <si>
    <t>CRF</t>
  </si>
  <si>
    <t>OLD / ANNUALIZED PROBABLY</t>
  </si>
  <si>
    <t xml:space="preserve">DE-ANNUALIZED </t>
  </si>
  <si>
    <t>JRC146193_01 (5).pdf</t>
  </si>
  <si>
    <t xml:space="preserve">Weighted avg from </t>
  </si>
  <si>
    <t>Year</t>
  </si>
  <si>
    <t>Facility</t>
  </si>
  <si>
    <t>Project status</t>
  </si>
  <si>
    <t>Project type</t>
  </si>
  <si>
    <t>sector_s</t>
  </si>
  <si>
    <t>subsector</t>
  </si>
  <si>
    <t>EU</t>
  </si>
  <si>
    <t>MOL Szank field CO2 EOR</t>
  </si>
  <si>
    <t>Operational</t>
  </si>
  <si>
    <t>Full chain</t>
  </si>
  <si>
    <t>Fuel transformation</t>
  </si>
  <si>
    <t>Natural gas processing/LNG</t>
  </si>
  <si>
    <t>Shell Netherlands Pernis Refineries CCU</t>
  </si>
  <si>
    <t>CCU</t>
  </si>
  <si>
    <t>Refining</t>
  </si>
  <si>
    <t>Arcelor LanzaTech Carbalyst (Steelanol) Ghent</t>
  </si>
  <si>
    <t>Industry</t>
  </si>
  <si>
    <t>Iron and steel</t>
  </si>
  <si>
    <t>Twence Hengelo facility (Boeldershoek)</t>
  </si>
  <si>
    <t>Power and heat</t>
  </si>
  <si>
    <t>Power and heat (waste)</t>
  </si>
  <si>
    <t>Air Liquide hydrogen facility Rotterdam (Porthos)</t>
  </si>
  <si>
    <t>Under construction</t>
  </si>
  <si>
    <t>Capture</t>
  </si>
  <si>
    <t>Avedøre Power Station CCS</t>
  </si>
  <si>
    <t>Power (bioenergy)</t>
  </si>
  <si>
    <t>Air Products for Exxonmobil Botlek Rotterdam refinery</t>
  </si>
  <si>
    <t>Heidelberg Materials LEILAC 2</t>
  </si>
  <si>
    <t>Cement</t>
  </si>
  <si>
    <t>Yara Sluiskil fertiliser</t>
  </si>
  <si>
    <t>Fertiliser</t>
  </si>
  <si>
    <t>Grandpuits biorefinery</t>
  </si>
  <si>
    <t>Danube Removals</t>
  </si>
  <si>
    <t>Bioethanol</t>
  </si>
  <si>
    <t>Asnæs Power Station</t>
  </si>
  <si>
    <t>BioCirc biogas plant</t>
  </si>
  <si>
    <t>Biogas</t>
  </si>
  <si>
    <t>Shell Netherlands Pernis Refineries CCS</t>
  </si>
  <si>
    <t>Catch4Climate  Mergelstetten</t>
  </si>
  <si>
    <t>Kairos@C</t>
  </si>
  <si>
    <t>Planned</t>
  </si>
  <si>
    <t>Chemicals</t>
  </si>
  <si>
    <t>Kutina Petrokemija ammonia (ICORD project?)</t>
  </si>
  <si>
    <t>FlagshipTWO Sundsvall Korstaverket plant</t>
  </si>
  <si>
    <t>Sundsvall Korstaverket plant CCS</t>
  </si>
  <si>
    <t>Plock plant</t>
  </si>
  <si>
    <t>ECOPLANTA (Tarragona)</t>
  </si>
  <si>
    <t>Hedensbyn CCS (Västerbotten)</t>
  </si>
  <si>
    <t>Bio-CCS Malmö (Malmö Energihamn)</t>
  </si>
  <si>
    <t>Power (gas)</t>
  </si>
  <si>
    <t>K6 Program- Lumbres cement plant</t>
  </si>
  <si>
    <t>CalCC Lhoist Air Liquide Lime plant Réty</t>
  </si>
  <si>
    <t>Lime</t>
  </si>
  <si>
    <t>Stockholm Exergi Värtan CHP CCS (BECCS@STHLM)</t>
  </si>
  <si>
    <t>Wilhelmshaven Energy Hub BlueHyNow</t>
  </si>
  <si>
    <t>Hydrogen or ammonia</t>
  </si>
  <si>
    <t>ANRAV-CCUS (Devnya plant)</t>
  </si>
  <si>
    <t>KOdeCO net zero project (Koromačno)</t>
  </si>
  <si>
    <t>Prinos sigma plant</t>
  </si>
  <si>
    <t>INNOZHERO Filbornaverket plant Helsingborg</t>
  </si>
  <si>
    <t>FlagshipTHREE Umea Dava plant CCU</t>
  </si>
  <si>
    <t>Tarastenjärvi power (Tampere)</t>
  </si>
  <si>
    <t>Aittaluoto power (Pori)</t>
  </si>
  <si>
    <t>Hynovera</t>
  </si>
  <si>
    <t>eCapt-Rhone LeTeil</t>
  </si>
  <si>
    <t>AEB Amsterdam</t>
  </si>
  <si>
    <t>Onyx plant - Port of Rotterdam</t>
  </si>
  <si>
    <t>GO4ZERO Obourg</t>
  </si>
  <si>
    <t>OLYMPUS Holcim Milaki</t>
  </si>
  <si>
    <t>ACCSION Aalborg Portland</t>
  </si>
  <si>
    <t>Nordbex 1, Nybro</t>
  </si>
  <si>
    <t>GeZero carbon capture project (Geseke)</t>
  </si>
  <si>
    <t>Keravan Energia (Kerava)</t>
  </si>
  <si>
    <t>Kymijärvi power (Lahti)</t>
  </si>
  <si>
    <t>Kotka power (Kotka)</t>
  </si>
  <si>
    <t>Everest</t>
  </si>
  <si>
    <t>CO2NTESSA</t>
  </si>
  <si>
    <t>Motor Oil Hellas (Iris Project)</t>
  </si>
  <si>
    <t>IFESTOS Carbon Capture (Kamari plant)</t>
  </si>
  <si>
    <t>Marcegaglia AdriatiCO2</t>
  </si>
  <si>
    <t>BEA Alizay</t>
  </si>
  <si>
    <t>Papetier Sylvamo Saillat sur Vienne</t>
  </si>
  <si>
    <t>Pulp and paper</t>
  </si>
  <si>
    <t>ReSTart Usine RYAM Tartas</t>
  </si>
  <si>
    <t>Fjernvarme Fyn</t>
  </si>
  <si>
    <t>Deuna cement plant (Thuringia)</t>
  </si>
  <si>
    <t>Carbon2ProductAustria (C2PAT) - Lafarge Mannersdorf</t>
  </si>
  <si>
    <t>Energean hydrogen plant</t>
  </si>
  <si>
    <t xml:space="preserve">ENI Ravenna power plant </t>
  </si>
  <si>
    <t>ENI Venice bio-refinery Porto Marghera</t>
  </si>
  <si>
    <t>Ervia Cork CCS - Irving refinery</t>
  </si>
  <si>
    <t>Carbon2Business Laegerdorf</t>
  </si>
  <si>
    <t>H-vision plant 1</t>
  </si>
  <si>
    <t>Gonfreville Raffinerie</t>
  </si>
  <si>
    <t>Vestforbrænding's Ejby Glostrup incineration plant</t>
  </si>
  <si>
    <t>Cemex Rudersdorf CO2llect</t>
  </si>
  <si>
    <t>VAIA HyNoVi project (Vicat Montalieu plant)</t>
  </si>
  <si>
    <t>Hyskies Vattenfall CHP Lanzatech</t>
  </si>
  <si>
    <t>Heidelberg Materials CBR Antoing Cement Plant (Anthemis)</t>
  </si>
  <si>
    <t>RWE Eemshaven power plant (BECCUS project)</t>
  </si>
  <si>
    <t>ARGO waste-to-energy plant</t>
  </si>
  <si>
    <t>Aluminium Dunkerque feasibility study</t>
  </si>
  <si>
    <t>Aluminium</t>
  </si>
  <si>
    <t>H2-gateway</t>
  </si>
  <si>
    <t>Eleusis oil refinery (Elefsina)</t>
  </si>
  <si>
    <t>Brocēni cement plant CCS</t>
  </si>
  <si>
    <t>Kredsløb Energipark Lisbjerg</t>
  </si>
  <si>
    <t>HOFOR Amagerværket</t>
  </si>
  <si>
    <t>Neau Lime plant</t>
  </si>
  <si>
    <t>Orlen Lietuva</t>
  </si>
  <si>
    <t>SOMZERO CO2</t>
  </si>
  <si>
    <t>Fjord-Projekt CIP (Carbon Captured from  Nordværk Incineration Plant)</t>
  </si>
  <si>
    <t>European Energy/Brønderslev PtX (Biogas or waste incineration plants in Northern Jutland)</t>
  </si>
  <si>
    <t>CopenCapture (CopenHill Wate to Energy Plant)</t>
  </si>
  <si>
    <t>Full Chain</t>
  </si>
  <si>
    <t>VAIA project Montalieu-Vercieu site</t>
  </si>
  <si>
    <t>Renova CCS (Gothenburg)</t>
  </si>
  <si>
    <t>AffaldPlus Affaldsenergi</t>
  </si>
  <si>
    <t>SkyZero (Spillepengen)</t>
  </si>
  <si>
    <t>H2BE</t>
  </si>
  <si>
    <t>Go4ECOPlanet Kujawy</t>
  </si>
  <si>
    <t>CarboClearTech (Martres-Tolosane cement plant)</t>
  </si>
  <si>
    <t>ARCaDe Antwerp Refinery</t>
  </si>
  <si>
    <t>AirvaultGoCO2 cement plant</t>
  </si>
  <si>
    <t>Mosusol netCO2</t>
  </si>
  <si>
    <t>ECO2FLY (Villaluenga)</t>
  </si>
  <si>
    <t>Cementa Slite plant</t>
  </si>
  <si>
    <t>H2GE Rostock</t>
  </si>
  <si>
    <t>RWE Amer power plant (BECCUS project)</t>
  </si>
  <si>
    <t>Saint-Pierre-la-Cour cement plant</t>
  </si>
  <si>
    <t>Beremend cement factory</t>
  </si>
  <si>
    <t>CPT 01 cement Campulung</t>
  </si>
  <si>
    <t>CO2necta (Sagunto)</t>
  </si>
  <si>
    <t>CO2nscious (Carboneras)</t>
  </si>
  <si>
    <t>E.ON's DH Norrköping plant (Malmö)</t>
  </si>
  <si>
    <t>Buzzi Unicem Augusta cement plant</t>
  </si>
  <si>
    <t>NO</t>
  </si>
  <si>
    <t>Sleipner</t>
  </si>
  <si>
    <t>Snohvit CO2 capture and storage</t>
  </si>
  <si>
    <t>HeidelbergMaterials Brevik</t>
  </si>
  <si>
    <t>Treklyngen Bioforbrenning (Hønefoss)</t>
  </si>
  <si>
    <t>Eramet Sauda</t>
  </si>
  <si>
    <t>Norske Skog Skogn (Levanger)</t>
  </si>
  <si>
    <t>Hafslund Oslo Celsio</t>
  </si>
  <si>
    <t xml:space="preserve">Lyse Forus Energigjenvinning Stavanger </t>
  </si>
  <si>
    <t>Stakraft Varme Heimdal (Trondheim)</t>
  </si>
  <si>
    <t>Returkraft Kristiansand</t>
  </si>
  <si>
    <t>Barents Blue ammonia project Train 1</t>
  </si>
  <si>
    <t>Borregaard / SAE (Borg CO2) (2 facilities)</t>
  </si>
  <si>
    <t>Frevar KF / Kvitebjorn BIO-EL (Borg CO2) (2 facilities)</t>
  </si>
  <si>
    <t>Norske Skog Saugbrugs (Borg CO2)</t>
  </si>
  <si>
    <t>UK</t>
  </si>
  <si>
    <t>VPI Immingham CHP plant CCS</t>
  </si>
  <si>
    <t>Grain CCGT power station</t>
  </si>
  <si>
    <t>Caledonia Clean Energy (previously Captain Clean Energy)</t>
  </si>
  <si>
    <t>Drax BECCS Project (Phase 1)</t>
  </si>
  <si>
    <t>Future Biogas plants phase 2</t>
  </si>
  <si>
    <t>H2NorthEast Phase 1</t>
  </si>
  <si>
    <t>Net Zero Teesside Power</t>
  </si>
  <si>
    <t>Phillips 66 Humber refinery</t>
  </si>
  <si>
    <t>HyNet Hydrogen Production Project (HPP) Plant 1 (Hynet phase 1)</t>
  </si>
  <si>
    <t>Viridor Runcorn CCS project</t>
  </si>
  <si>
    <t>Stanlow Oil Refinery</t>
  </si>
  <si>
    <t>HyNet Hydrogen Production Project (HPP) Plant 2 (Hynet phase 2)</t>
  </si>
  <si>
    <t>Hanson Padeswood Cement Works CCS</t>
  </si>
  <si>
    <t>Redcar Energy Centre EfW</t>
  </si>
  <si>
    <t>Suez Tees Valley / Haverton Hill Waste to Energy CCS</t>
  </si>
  <si>
    <t>Ince Bioenergy Carbon Capture and Storage (InBECCS) scaleup</t>
  </si>
  <si>
    <t>Rookery South Energy Recovery Facility (ERF)</t>
  </si>
  <si>
    <t>Shetland Offshore power generation</t>
  </si>
  <si>
    <t>CORY EfW plant Belvedere</t>
  </si>
  <si>
    <t>Drax BECCS Project (Phase 2)</t>
  </si>
  <si>
    <t>H2NorthEast Phase 2</t>
  </si>
  <si>
    <t>INEOS Grangemouth refinery and hydrogen production</t>
  </si>
  <si>
    <t>Humber Hub Blue North Killingholme</t>
  </si>
  <si>
    <t>Hynet Northwest phase 3</t>
  </si>
  <si>
    <t>Ferrybridge EfW</t>
  </si>
  <si>
    <t>Connah's Quay Low Carbon Power (CQLCP) Phase 1</t>
  </si>
  <si>
    <t>Lynemouth Power Station (BECCS)</t>
  </si>
  <si>
    <t>Hydrogen to Humber (H2H) Saltend phase 1</t>
  </si>
  <si>
    <t>Cauldon cement plant</t>
  </si>
  <si>
    <t>Keadby 3 Carbon Capture Power Station</t>
  </si>
  <si>
    <t>Peterhead Carbon Capture Power Station</t>
  </si>
  <si>
    <t>RWE CCGT Staythorpe</t>
  </si>
  <si>
    <t>Milford Haven CO2 Project (Part of Pembroke Net Zero Centre (PNZC))</t>
  </si>
  <si>
    <t>RWE CCGT Great Yarmouth (Norfolk)</t>
  </si>
  <si>
    <t>H21 Leeds City Gate - Teesside hydrogen</t>
  </si>
  <si>
    <t>RWE CCGT Stallingborough</t>
  </si>
  <si>
    <t>Source</t>
  </si>
  <si>
    <t>IEA CCUS Projects Database https://www.iea.org/data-and-statistics/data-product/ccus-projects-database</t>
  </si>
  <si>
    <t>EU|psc_cement</t>
  </si>
  <si>
    <t>EU|psc_chemicals</t>
  </si>
  <si>
    <t>EU|psc_iron_steel</t>
  </si>
  <si>
    <t>EU|psc_otherindustry</t>
  </si>
  <si>
    <t>EU|psc_power</t>
  </si>
  <si>
    <t>EU|psc_refining</t>
  </si>
  <si>
    <t>NO|psc_cement</t>
  </si>
  <si>
    <t>NO|psc_chemicals</t>
  </si>
  <si>
    <t>NO|psc_iron_steel</t>
  </si>
  <si>
    <t>NO|psc_otherindustry</t>
  </si>
  <si>
    <t>NO|psc_power</t>
  </si>
  <si>
    <t>NO|psc_refining</t>
  </si>
  <si>
    <t>UK|psc_cement</t>
  </si>
  <si>
    <t>UK|psc_chemicals</t>
  </si>
  <si>
    <t>UK|psc_iron_steel</t>
  </si>
  <si>
    <t>UK|psc_otherindustry</t>
  </si>
  <si>
    <t>UK|psc_power</t>
  </si>
  <si>
    <t>UK|psc_refining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</si>
</sst>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charset val="1"/>
    </font>
    <font>
      <sz val="2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3" fillId="0" borderId="0" xfId="0" applyFont="1"/>
    <xf numFmtId="0" fontId="4" fillId="0" borderId="0" xfId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/>
    <xf numFmtId="3" fontId="0" fillId="0" borderId="0" xfId="0" applyNumberFormat="1"/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vertical="center" wrapText="1"/>
    </xf>
    <xf numFmtId="0" fontId="0" fillId="3" borderId="0" xfId="0" applyFill="1"/>
    <xf numFmtId="0" fontId="0" fillId="4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grid Sundvor" id="{090D3F69-4D2E-44E4-A87A-277BA7CF8578}" userId="S::orie4242@ox.ac.uk::2a345b66-f9dd-4a35-86be-f8775cfdb896" providerId="AD"/>
  <person displayName="Ingrid Sundvor" id="{037CFEE9-6055-4F6F-8E7A-4033DECEB1E6}" userId="S::Ingrid.sundvor@carbon-balance.earth::1633800e-4008-4f5f-88a5-7bd0a8f0ba45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9-07T17:39:04.94" personId="{090D3F69-4D2E-44E4-A87A-277BA7CF8578}" id="{3C2D8C53-38EA-4E90-851B-96BF914F2C36}">
    <text xml:space="preserve">It makes no sense to break up costs based on EU27 v. UK v. NO, so either we aggregate together or we have to separate into much smaller juridictions/sub-regions with similar terrain, resources etc, climate. </text>
  </threadedComment>
  <threadedComment ref="B6" dT="2026-09-07T18:25:00.36" personId="{090D3F69-4D2E-44E4-A87A-277BA7CF8578}" id="{85B5A148-DAF6-46A2-AFB1-D664E31B895C}">
    <text>Need to double check the capex numbers and find a better source</text>
  </threadedComment>
  <threadedComment ref="C16" dT="2026-09-07T17:39:04.94" personId="{090D3F69-4D2E-44E4-A87A-277BA7CF8578}" id="{D0E3BADE-A996-43C0-906F-0E6046633D0E}">
    <text xml:space="preserve">It makes no sense to break up costs based on EU27 v. UK v. NO, so either we aggregate together or we have to separate into much smaller juridictions/sub-regions with similar terrain, resources etc, climate. </text>
  </threadedComment>
  <threadedComment ref="B21" dT="2026-09-07T18:25:00.36" personId="{090D3F69-4D2E-44E4-A87A-277BA7CF8578}" id="{A6E78016-D31A-4FE1-B6CC-DBFDE266072E}">
    <text>Need to double check the capex numbers and find a better 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6-09-08T15:34:50.82" personId="{037CFEE9-6055-4F6F-8E7A-4033DECEB1E6}" id="{AFE89BF4-07DA-4E92-B59A-8565686C0942}">
    <text>These names are not the same we use across our datasheet, so would suggest renaming/recoding for consistency. Potentially delete sub-sectors that fall out of scope.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file:///C:\Users\maxoi\Downloads\JRC146193_01%20(5).pdf" TargetMode="Externa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C181-AF28-4795-9685-18680995ECA4}">
  <dimension ref="A1:U22"/>
  <sheetViews>
    <sheetView workbookViewId="0">
      <selection activeCell="B2" sqref="B2:B7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1" x14ac:dyDescent="0.25">
      <c r="A2" t="s">
        <v>18</v>
      </c>
      <c r="B2" t="s">
        <v>19</v>
      </c>
      <c r="C2" t="s">
        <v>20</v>
      </c>
      <c r="D2" s="2">
        <v>33.200000000000003</v>
      </c>
      <c r="E2" s="2">
        <v>31</v>
      </c>
      <c r="F2" s="2">
        <v>26.2</v>
      </c>
      <c r="G2" s="2">
        <v>22.1</v>
      </c>
      <c r="H2" s="2">
        <f>D2*0.06</f>
        <v>1.992</v>
      </c>
      <c r="I2" s="2">
        <f>E2*0.06</f>
        <v>1.8599999999999999</v>
      </c>
      <c r="J2" s="2">
        <f>F2*0.06</f>
        <v>1.5719999999999998</v>
      </c>
      <c r="K2" s="2">
        <f>G2*0.06</f>
        <v>1.3260000000000001</v>
      </c>
      <c r="O2" s="2">
        <v>36.36</v>
      </c>
      <c r="P2" s="2">
        <v>36.36</v>
      </c>
      <c r="Q2" s="2">
        <v>36.36</v>
      </c>
      <c r="R2" s="2">
        <v>36.36</v>
      </c>
    </row>
    <row r="3" spans="1:21" x14ac:dyDescent="0.25">
      <c r="A3" t="s">
        <v>21</v>
      </c>
      <c r="B3" t="s">
        <v>22</v>
      </c>
      <c r="C3" t="s">
        <v>20</v>
      </c>
      <c r="D3" s="2">
        <v>94</v>
      </c>
      <c r="E3" s="2">
        <v>87.8</v>
      </c>
      <c r="F3" s="2">
        <v>74</v>
      </c>
      <c r="G3" s="2">
        <v>62.4</v>
      </c>
      <c r="H3" s="2">
        <f>D3*0.06</f>
        <v>5.64</v>
      </c>
      <c r="I3" s="2">
        <f>E3*0.06</f>
        <v>5.2679999999999998</v>
      </c>
      <c r="J3" s="2">
        <f>F3*0.06</f>
        <v>4.4399999999999995</v>
      </c>
      <c r="K3" s="2">
        <f>G3*0.06</f>
        <v>3.7439999999999998</v>
      </c>
      <c r="O3" s="2">
        <v>38.36</v>
      </c>
      <c r="P3" s="2">
        <v>38.36</v>
      </c>
      <c r="Q3" s="2">
        <v>38.36</v>
      </c>
      <c r="R3" s="2">
        <v>38.36</v>
      </c>
    </row>
    <row r="4" spans="1:21" ht="31.5" x14ac:dyDescent="0.5">
      <c r="A4" t="s">
        <v>23</v>
      </c>
      <c r="B4" t="s">
        <v>24</v>
      </c>
      <c r="C4" t="s">
        <v>20</v>
      </c>
      <c r="D4" s="2">
        <v>30.5</v>
      </c>
      <c r="E4" s="2">
        <v>28.5</v>
      </c>
      <c r="F4" s="2">
        <v>24</v>
      </c>
      <c r="G4" s="2">
        <v>20.3</v>
      </c>
      <c r="H4" s="2">
        <f>D4*0.06</f>
        <v>1.8299999999999998</v>
      </c>
      <c r="I4" s="2">
        <f>E4*0.06</f>
        <v>1.71</v>
      </c>
      <c r="J4" s="2">
        <f>F4*0.06</f>
        <v>1.44</v>
      </c>
      <c r="K4" s="2">
        <f>G4*0.06</f>
        <v>1.218</v>
      </c>
      <c r="O4" s="2">
        <v>37.28</v>
      </c>
      <c r="P4" s="2">
        <v>37.28</v>
      </c>
      <c r="Q4" s="2">
        <v>37.28</v>
      </c>
      <c r="R4" s="2">
        <v>37.28</v>
      </c>
      <c r="U4" s="3" t="s">
        <v>35</v>
      </c>
    </row>
    <row r="5" spans="1:21" x14ac:dyDescent="0.25">
      <c r="A5" t="s">
        <v>25</v>
      </c>
      <c r="B5" t="s">
        <v>26</v>
      </c>
      <c r="C5" t="s">
        <v>20</v>
      </c>
      <c r="D5" s="2">
        <v>75</v>
      </c>
      <c r="E5" s="2">
        <v>70</v>
      </c>
      <c r="F5" s="2">
        <v>59</v>
      </c>
      <c r="G5" s="2">
        <v>49.8</v>
      </c>
      <c r="H5" s="2">
        <f>D5*0.06</f>
        <v>4.5</v>
      </c>
      <c r="I5" s="2">
        <f>E5*0.06</f>
        <v>4.2</v>
      </c>
      <c r="J5" s="2">
        <f>F5*0.06</f>
        <v>3.54</v>
      </c>
      <c r="K5" s="2">
        <f>G5*0.06</f>
        <v>2.9879999999999995</v>
      </c>
      <c r="O5" s="2">
        <v>35.1</v>
      </c>
      <c r="P5" s="2">
        <v>35.1</v>
      </c>
      <c r="Q5" s="2">
        <v>35.1</v>
      </c>
      <c r="R5" s="2">
        <v>35.1</v>
      </c>
    </row>
    <row r="6" spans="1:21" x14ac:dyDescent="0.25">
      <c r="A6" t="s">
        <v>27</v>
      </c>
      <c r="B6" t="s">
        <v>28</v>
      </c>
      <c r="C6" t="s">
        <v>20</v>
      </c>
      <c r="D6" s="2">
        <v>85</v>
      </c>
      <c r="E6" s="2">
        <f>D6*(1-0.075)</f>
        <v>78.625</v>
      </c>
      <c r="F6" s="2">
        <f>E6-(1-0.075)</f>
        <v>77.7</v>
      </c>
      <c r="G6" s="2">
        <f>F6-(1-0.075)</f>
        <v>76.775000000000006</v>
      </c>
      <c r="H6" s="2">
        <f>D6*0.06</f>
        <v>5.0999999999999996</v>
      </c>
      <c r="I6" s="2">
        <f>E6*0.06</f>
        <v>4.7175000000000002</v>
      </c>
      <c r="J6" s="2">
        <f>F6*0.06</f>
        <v>4.6619999999999999</v>
      </c>
      <c r="K6" s="2">
        <f>G6*0.06</f>
        <v>4.6065000000000005</v>
      </c>
      <c r="O6" s="2">
        <v>40.520000000000003</v>
      </c>
      <c r="P6" s="2">
        <v>40.520000000000003</v>
      </c>
      <c r="Q6" s="2">
        <v>40.520000000000003</v>
      </c>
      <c r="R6" s="2">
        <v>40.520000000000003</v>
      </c>
      <c r="U6" t="s">
        <v>38</v>
      </c>
    </row>
    <row r="7" spans="1:21" x14ac:dyDescent="0.25">
      <c r="A7" t="s">
        <v>29</v>
      </c>
      <c r="B7" t="s">
        <v>30</v>
      </c>
      <c r="C7" t="s">
        <v>20</v>
      </c>
      <c r="D7" s="2">
        <v>143</v>
      </c>
      <c r="E7" s="2">
        <v>131</v>
      </c>
      <c r="F7" s="2">
        <v>111</v>
      </c>
      <c r="G7" s="2">
        <v>95</v>
      </c>
      <c r="H7" s="2">
        <f>D7*0.06</f>
        <v>8.58</v>
      </c>
      <c r="I7" s="2">
        <f>E7*0.06</f>
        <v>7.8599999999999994</v>
      </c>
      <c r="J7" s="2">
        <f>F7*0.06</f>
        <v>6.66</v>
      </c>
      <c r="K7" s="2">
        <f>G7*0.06</f>
        <v>5.7</v>
      </c>
      <c r="O7" s="2">
        <v>40.520000000000003</v>
      </c>
      <c r="P7" s="2">
        <v>40.520000000000003</v>
      </c>
      <c r="Q7" s="2">
        <v>40.520000000000003</v>
      </c>
      <c r="R7" s="2">
        <v>40.520000000000003</v>
      </c>
      <c r="U7" s="4" t="s">
        <v>37</v>
      </c>
    </row>
    <row r="12" spans="1:21" x14ac:dyDescent="0.25">
      <c r="A12" t="s">
        <v>31</v>
      </c>
    </row>
    <row r="13" spans="1:21" x14ac:dyDescent="0.25">
      <c r="A13" t="s">
        <v>32</v>
      </c>
      <c r="B13">
        <v>7.4999999999999997E-2</v>
      </c>
    </row>
    <row r="14" spans="1:21" x14ac:dyDescent="0.25">
      <c r="A14" t="s">
        <v>33</v>
      </c>
      <c r="B14">
        <v>25</v>
      </c>
    </row>
    <row r="15" spans="1:21" x14ac:dyDescent="0.25">
      <c r="A15" t="s">
        <v>34</v>
      </c>
      <c r="B15">
        <f>SUM((B13*(1+B13)^B14)/((1+B13)^B14-1))</f>
        <v>8.9710671649444018E-2</v>
      </c>
    </row>
    <row r="16" spans="1:21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  <c r="O16" s="1" t="s">
        <v>14</v>
      </c>
      <c r="P16" s="1" t="s">
        <v>15</v>
      </c>
      <c r="Q16" s="1" t="s">
        <v>16</v>
      </c>
      <c r="R16" s="1" t="s">
        <v>17</v>
      </c>
    </row>
    <row r="17" spans="1:21" x14ac:dyDescent="0.25">
      <c r="A17" t="s">
        <v>18</v>
      </c>
      <c r="B17" t="s">
        <v>19</v>
      </c>
      <c r="C17" t="s">
        <v>20</v>
      </c>
      <c r="D17">
        <f>SUM(D2/B15)</f>
        <v>370.07860257398664</v>
      </c>
      <c r="E17">
        <f>SUM(E2/B15)</f>
        <v>345.55532168052969</v>
      </c>
      <c r="F17">
        <f>SUM(F2/B15)</f>
        <v>292.04998154935089</v>
      </c>
      <c r="G17">
        <f>SUM(G2/B15)</f>
        <v>246.34750352063568</v>
      </c>
      <c r="H17">
        <v>8.58</v>
      </c>
      <c r="I17">
        <v>7.8599999999999994</v>
      </c>
      <c r="J17">
        <v>6.66</v>
      </c>
      <c r="K17">
        <v>5.7</v>
      </c>
      <c r="L17" s="2">
        <v>65</v>
      </c>
      <c r="M17" s="2">
        <v>90</v>
      </c>
      <c r="N17">
        <v>77.5</v>
      </c>
      <c r="O17" s="2">
        <v>36.36</v>
      </c>
      <c r="P17" s="2">
        <v>36.36</v>
      </c>
      <c r="Q17" s="2">
        <v>36.36</v>
      </c>
      <c r="R17" s="2">
        <v>36.36</v>
      </c>
    </row>
    <row r="18" spans="1:21" x14ac:dyDescent="0.25">
      <c r="A18" t="s">
        <v>21</v>
      </c>
      <c r="B18" t="s">
        <v>22</v>
      </c>
      <c r="C18" t="s">
        <v>20</v>
      </c>
      <c r="D18">
        <f>SUM(D3/B15)</f>
        <v>1047.8129109022511</v>
      </c>
      <c r="E18">
        <f>SUM(E3/B15)</f>
        <v>978.70184656614526</v>
      </c>
      <c r="F18">
        <f>SUM(F3/B15)</f>
        <v>824.87399368900628</v>
      </c>
      <c r="G18">
        <f>SUM(G3/B15)</f>
        <v>695.5694217053242</v>
      </c>
      <c r="H18">
        <v>6.3</v>
      </c>
      <c r="I18">
        <v>6.048</v>
      </c>
      <c r="J18">
        <v>5.5440000000000005</v>
      </c>
      <c r="K18">
        <v>5.04</v>
      </c>
      <c r="L18" s="2">
        <v>90</v>
      </c>
      <c r="M18" s="2">
        <v>94</v>
      </c>
      <c r="N18">
        <v>92</v>
      </c>
      <c r="O18" s="2">
        <v>38.36</v>
      </c>
      <c r="P18" s="2">
        <v>38.36</v>
      </c>
      <c r="Q18" s="2">
        <v>38.36</v>
      </c>
      <c r="R18" s="2">
        <v>38.36</v>
      </c>
    </row>
    <row r="19" spans="1:21" x14ac:dyDescent="0.25">
      <c r="A19" t="s">
        <v>23</v>
      </c>
      <c r="B19" t="s">
        <v>24</v>
      </c>
      <c r="C19" t="s">
        <v>20</v>
      </c>
      <c r="D19">
        <f>SUM(D4/B15)</f>
        <v>339.98184875019854</v>
      </c>
      <c r="E19">
        <f>SUM(E4/B15)</f>
        <v>317.68795702887405</v>
      </c>
      <c r="F19">
        <f>SUM(F4/B15)</f>
        <v>267.52670065589393</v>
      </c>
      <c r="G19">
        <f>SUM(G4/B15)</f>
        <v>226.28300097144361</v>
      </c>
      <c r="H19">
        <v>2.16</v>
      </c>
      <c r="I19">
        <v>2.0760000000000001</v>
      </c>
      <c r="J19">
        <v>1.9019999999999999</v>
      </c>
      <c r="K19">
        <v>1.728</v>
      </c>
      <c r="L19" s="2">
        <v>90</v>
      </c>
      <c r="M19" s="2">
        <v>99</v>
      </c>
      <c r="N19">
        <v>94.5</v>
      </c>
      <c r="O19" s="2">
        <v>37.28</v>
      </c>
      <c r="P19" s="2">
        <v>37.28</v>
      </c>
      <c r="Q19" s="2">
        <v>37.28</v>
      </c>
      <c r="R19" s="2">
        <v>37.28</v>
      </c>
    </row>
    <row r="20" spans="1:21" ht="31.5" x14ac:dyDescent="0.5">
      <c r="A20" t="s">
        <v>25</v>
      </c>
      <c r="B20" t="s">
        <v>26</v>
      </c>
      <c r="C20" t="s">
        <v>20</v>
      </c>
      <c r="D20">
        <f>SUM(D5/B15)</f>
        <v>836.02093954966858</v>
      </c>
      <c r="E20">
        <f>SUM(E5/B15)</f>
        <v>780.28621024635731</v>
      </c>
      <c r="F20">
        <f>SUM(F5/B15)</f>
        <v>657.66980577907259</v>
      </c>
      <c r="G20">
        <f>SUM(G5/B15)</f>
        <v>555.11790386097982</v>
      </c>
      <c r="H20">
        <v>6.3</v>
      </c>
      <c r="I20">
        <v>6.048</v>
      </c>
      <c r="J20">
        <v>5.5440000000000005</v>
      </c>
      <c r="K20">
        <v>5.04</v>
      </c>
      <c r="L20" s="2">
        <v>90</v>
      </c>
      <c r="M20" s="2">
        <v>99</v>
      </c>
      <c r="N20">
        <v>94.5</v>
      </c>
      <c r="O20" s="2">
        <v>35.1</v>
      </c>
      <c r="P20" s="2">
        <v>35.1</v>
      </c>
      <c r="Q20" s="2">
        <v>35.1</v>
      </c>
      <c r="R20" s="2">
        <v>35.1</v>
      </c>
      <c r="U20" s="3" t="s">
        <v>36</v>
      </c>
    </row>
    <row r="21" spans="1:21" x14ac:dyDescent="0.25">
      <c r="A21" t="s">
        <v>27</v>
      </c>
      <c r="B21" t="s">
        <v>28</v>
      </c>
      <c r="C21" t="s">
        <v>20</v>
      </c>
      <c r="D21">
        <f>SUM(D6/B15)</f>
        <v>947.49039815629101</v>
      </c>
      <c r="E21">
        <f>SUM(E6/B15)</f>
        <v>876.42861829456922</v>
      </c>
      <c r="F21">
        <f>SUM(F6/B15)</f>
        <v>866.11769337345663</v>
      </c>
      <c r="G21">
        <f>SUM(G6/B15)</f>
        <v>855.80676845234404</v>
      </c>
      <c r="H21">
        <v>5.0999999999999996</v>
      </c>
      <c r="I21">
        <v>4.7175000000000002</v>
      </c>
      <c r="J21">
        <v>4.6619999999999999</v>
      </c>
      <c r="K21">
        <v>4.6065000000000005</v>
      </c>
      <c r="L21" s="2">
        <v>90</v>
      </c>
      <c r="M21" s="2">
        <v>90</v>
      </c>
      <c r="N21">
        <v>90</v>
      </c>
      <c r="O21" s="2">
        <v>40.520000000000003</v>
      </c>
      <c r="P21" s="2">
        <v>40.520000000000003</v>
      </c>
      <c r="Q21" s="2">
        <v>40.520000000000003</v>
      </c>
      <c r="R21" s="2">
        <v>40.520000000000003</v>
      </c>
    </row>
    <row r="22" spans="1:21" x14ac:dyDescent="0.25">
      <c r="A22" t="s">
        <v>29</v>
      </c>
      <c r="B22" t="s">
        <v>30</v>
      </c>
      <c r="C22" t="s">
        <v>20</v>
      </c>
      <c r="D22">
        <f>SUM(D7/B15)</f>
        <v>1594.0132580747013</v>
      </c>
      <c r="E22">
        <f>SUM(E7/B15)</f>
        <v>1460.2499077467544</v>
      </c>
      <c r="F22">
        <f>SUM(F7/B15)</f>
        <v>1237.3109905335095</v>
      </c>
      <c r="G22">
        <f>SUM(G7/B15)</f>
        <v>1058.9598567629134</v>
      </c>
      <c r="H22">
        <v>8.58</v>
      </c>
      <c r="I22">
        <v>7.8599999999999994</v>
      </c>
      <c r="J22">
        <v>6.66</v>
      </c>
      <c r="K22">
        <v>5.7</v>
      </c>
      <c r="L22" s="2">
        <v>65</v>
      </c>
      <c r="M22" s="2">
        <v>90</v>
      </c>
      <c r="N22">
        <v>77.5</v>
      </c>
      <c r="O22" s="2">
        <v>40.520000000000003</v>
      </c>
      <c r="P22" s="2">
        <v>40.520000000000003</v>
      </c>
      <c r="Q22" s="2">
        <v>40.520000000000003</v>
      </c>
      <c r="R22" s="2">
        <v>40.520000000000003</v>
      </c>
    </row>
  </sheetData>
  <hyperlinks>
    <hyperlink ref="U7" r:id="rId1" display="C:\Users\maxoi\Downloads\JRC146193_01 (5).pdf" xr:uid="{9A110B2D-4102-4C0C-A39D-3E5918BF9037}"/>
  </hyperlinks>
  <pageMargins left="0.7" right="0.7" top="0.78740157499999996" bottom="0.78740157499999996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AB2C-B5D9-479C-8C1F-54CCC209A833}">
  <dimension ref="A1:J157"/>
  <sheetViews>
    <sheetView workbookViewId="0">
      <selection activeCell="H155" sqref="A1:H155"/>
    </sheetView>
  </sheetViews>
  <sheetFormatPr baseColWidth="10" defaultColWidth="11.42578125" defaultRowHeight="15" x14ac:dyDescent="0.25"/>
  <cols>
    <col min="3" max="3" width="44.42578125" customWidth="1"/>
    <col min="4" max="4" width="30.140625" customWidth="1"/>
    <col min="5" max="5" width="18.42578125" customWidth="1"/>
    <col min="6" max="6" width="22.42578125" customWidth="1"/>
    <col min="7" max="7" width="25.42578125" customWidth="1"/>
  </cols>
  <sheetData>
    <row r="1" spans="1:10" x14ac:dyDescent="0.25">
      <c r="A1" s="1" t="s">
        <v>39</v>
      </c>
      <c r="B1" s="1" t="s">
        <v>2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e" cm="1">
        <f t="array" ref="H1">H1:I156tCO2/yr</f>
        <v>#NAME?</v>
      </c>
    </row>
    <row r="2" spans="1:10" x14ac:dyDescent="0.25">
      <c r="A2" s="9">
        <v>1992</v>
      </c>
      <c r="B2" s="9" t="s">
        <v>45</v>
      </c>
      <c r="C2" s="9" t="s">
        <v>46</v>
      </c>
      <c r="D2" s="9" t="s">
        <v>47</v>
      </c>
      <c r="E2" s="10" t="s">
        <v>48</v>
      </c>
      <c r="F2" s="11" t="s">
        <v>49</v>
      </c>
      <c r="G2" s="11" t="s">
        <v>50</v>
      </c>
      <c r="H2" s="10">
        <v>160000</v>
      </c>
    </row>
    <row r="3" spans="1:10" x14ac:dyDescent="0.25">
      <c r="A3" s="11">
        <v>1996</v>
      </c>
      <c r="B3" s="11" t="s">
        <v>175</v>
      </c>
      <c r="C3" s="11" t="s">
        <v>176</v>
      </c>
      <c r="D3" s="11" t="s">
        <v>47</v>
      </c>
      <c r="E3" s="11" t="s">
        <v>48</v>
      </c>
      <c r="F3" s="11" t="s">
        <v>49</v>
      </c>
      <c r="G3" s="11" t="s">
        <v>50</v>
      </c>
      <c r="H3" s="11">
        <v>1000000</v>
      </c>
    </row>
    <row r="4" spans="1:10" x14ac:dyDescent="0.25">
      <c r="A4" s="9">
        <v>1997</v>
      </c>
      <c r="B4" s="9" t="s">
        <v>45</v>
      </c>
      <c r="C4" s="9" t="s">
        <v>51</v>
      </c>
      <c r="D4" s="9" t="s">
        <v>47</v>
      </c>
      <c r="E4" s="10" t="s">
        <v>52</v>
      </c>
      <c r="F4" s="11" t="s">
        <v>49</v>
      </c>
      <c r="G4" s="11" t="s">
        <v>53</v>
      </c>
      <c r="H4" s="10">
        <v>750000</v>
      </c>
    </row>
    <row r="5" spans="1:10" x14ac:dyDescent="0.25">
      <c r="A5" s="11">
        <v>2008</v>
      </c>
      <c r="B5" s="11" t="s">
        <v>175</v>
      </c>
      <c r="C5" s="11" t="s">
        <v>177</v>
      </c>
      <c r="D5" s="11" t="s">
        <v>47</v>
      </c>
      <c r="E5" s="11" t="s">
        <v>48</v>
      </c>
      <c r="F5" s="11" t="s">
        <v>49</v>
      </c>
      <c r="G5" s="11" t="s">
        <v>50</v>
      </c>
      <c r="H5" s="11">
        <v>700000</v>
      </c>
      <c r="J5" s="8"/>
    </row>
    <row r="6" spans="1:10" x14ac:dyDescent="0.25">
      <c r="A6" s="9">
        <v>2022</v>
      </c>
      <c r="B6" s="9" t="s">
        <v>45</v>
      </c>
      <c r="C6" s="9" t="s">
        <v>54</v>
      </c>
      <c r="D6" s="9" t="s">
        <v>47</v>
      </c>
      <c r="E6" s="10" t="s">
        <v>52</v>
      </c>
      <c r="F6" s="11" t="s">
        <v>55</v>
      </c>
      <c r="G6" s="11" t="s">
        <v>56</v>
      </c>
      <c r="H6" s="10">
        <v>125000</v>
      </c>
    </row>
    <row r="7" spans="1:10" x14ac:dyDescent="0.25">
      <c r="A7" s="9">
        <v>2025</v>
      </c>
      <c r="B7" s="9" t="s">
        <v>45</v>
      </c>
      <c r="C7" s="9" t="s">
        <v>57</v>
      </c>
      <c r="D7" s="9" t="s">
        <v>47</v>
      </c>
      <c r="E7" s="10" t="s">
        <v>52</v>
      </c>
      <c r="F7" s="11" t="s">
        <v>58</v>
      </c>
      <c r="G7" s="11" t="s">
        <v>59</v>
      </c>
      <c r="H7" s="10">
        <v>100000</v>
      </c>
    </row>
    <row r="8" spans="1:10" ht="30" x14ac:dyDescent="0.25">
      <c r="A8" s="11">
        <v>2025</v>
      </c>
      <c r="B8" s="11" t="s">
        <v>175</v>
      </c>
      <c r="C8" s="11" t="s">
        <v>178</v>
      </c>
      <c r="D8" s="11" t="s">
        <v>47</v>
      </c>
      <c r="E8" s="11" t="s">
        <v>62</v>
      </c>
      <c r="F8" s="11" t="s">
        <v>55</v>
      </c>
      <c r="G8" s="11" t="s">
        <v>67</v>
      </c>
      <c r="H8" s="11">
        <v>400000</v>
      </c>
    </row>
    <row r="9" spans="1:10" x14ac:dyDescent="0.25">
      <c r="A9" s="5">
        <v>2026</v>
      </c>
      <c r="B9" s="5" t="s">
        <v>45</v>
      </c>
      <c r="C9" s="5" t="s">
        <v>60</v>
      </c>
      <c r="D9" s="5" t="s">
        <v>61</v>
      </c>
      <c r="E9" s="6" t="s">
        <v>62</v>
      </c>
      <c r="F9" t="s">
        <v>49</v>
      </c>
      <c r="G9" t="s">
        <v>53</v>
      </c>
      <c r="H9" s="6">
        <v>500000</v>
      </c>
    </row>
    <row r="10" spans="1:10" x14ac:dyDescent="0.25">
      <c r="A10" s="5">
        <v>2026</v>
      </c>
      <c r="B10" s="5" t="s">
        <v>45</v>
      </c>
      <c r="C10" s="5" t="s">
        <v>63</v>
      </c>
      <c r="D10" s="5" t="s">
        <v>61</v>
      </c>
      <c r="E10" s="6" t="s">
        <v>62</v>
      </c>
      <c r="F10" t="s">
        <v>58</v>
      </c>
      <c r="G10" t="s">
        <v>64</v>
      </c>
      <c r="H10" s="6">
        <v>150000</v>
      </c>
    </row>
    <row r="11" spans="1:10" x14ac:dyDescent="0.25">
      <c r="A11" s="5">
        <v>2026</v>
      </c>
      <c r="B11" s="5" t="s">
        <v>45</v>
      </c>
      <c r="C11" s="5" t="s">
        <v>65</v>
      </c>
      <c r="D11" s="5" t="s">
        <v>61</v>
      </c>
      <c r="E11" s="6" t="s">
        <v>62</v>
      </c>
      <c r="F11" t="s">
        <v>49</v>
      </c>
      <c r="G11" t="s">
        <v>53</v>
      </c>
      <c r="H11" s="6">
        <v>958000</v>
      </c>
    </row>
    <row r="12" spans="1:10" x14ac:dyDescent="0.25">
      <c r="A12" s="5">
        <v>2026</v>
      </c>
      <c r="B12" s="5" t="s">
        <v>45</v>
      </c>
      <c r="C12" s="5" t="s">
        <v>66</v>
      </c>
      <c r="D12" s="5" t="s">
        <v>61</v>
      </c>
      <c r="E12" s="6" t="s">
        <v>62</v>
      </c>
      <c r="F12" t="s">
        <v>55</v>
      </c>
      <c r="G12" t="s">
        <v>67</v>
      </c>
      <c r="H12" s="6">
        <v>100000</v>
      </c>
    </row>
    <row r="13" spans="1:10" x14ac:dyDescent="0.25">
      <c r="A13" s="5">
        <v>2026</v>
      </c>
      <c r="B13" s="5" t="s">
        <v>45</v>
      </c>
      <c r="C13" s="5" t="s">
        <v>68</v>
      </c>
      <c r="D13" s="5" t="s">
        <v>61</v>
      </c>
      <c r="E13" s="6" t="s">
        <v>62</v>
      </c>
      <c r="F13" t="s">
        <v>55</v>
      </c>
      <c r="G13" t="s">
        <v>69</v>
      </c>
      <c r="H13" s="6">
        <v>800000</v>
      </c>
    </row>
    <row r="14" spans="1:10" x14ac:dyDescent="0.25">
      <c r="A14" s="5">
        <v>2026</v>
      </c>
      <c r="B14" s="5" t="s">
        <v>45</v>
      </c>
      <c r="C14" s="5" t="s">
        <v>70</v>
      </c>
      <c r="D14" s="5" t="s">
        <v>61</v>
      </c>
      <c r="E14" s="6" t="s">
        <v>52</v>
      </c>
      <c r="F14" t="s">
        <v>49</v>
      </c>
      <c r="G14" t="s">
        <v>53</v>
      </c>
      <c r="H14" s="6">
        <v>110000</v>
      </c>
    </row>
    <row r="15" spans="1:10" x14ac:dyDescent="0.25">
      <c r="A15" s="5">
        <v>2026</v>
      </c>
      <c r="B15" s="5" t="s">
        <v>45</v>
      </c>
      <c r="C15" s="5" t="s">
        <v>71</v>
      </c>
      <c r="D15" s="5" t="s">
        <v>61</v>
      </c>
      <c r="E15" s="6" t="s">
        <v>48</v>
      </c>
      <c r="F15" t="s">
        <v>49</v>
      </c>
      <c r="G15" t="s">
        <v>72</v>
      </c>
      <c r="H15" s="6">
        <v>500000</v>
      </c>
    </row>
    <row r="16" spans="1:10" x14ac:dyDescent="0.25">
      <c r="A16" s="5">
        <v>2026</v>
      </c>
      <c r="B16" s="5" t="s">
        <v>45</v>
      </c>
      <c r="C16" s="5" t="s">
        <v>73</v>
      </c>
      <c r="D16" s="5" t="s">
        <v>61</v>
      </c>
      <c r="E16" s="6" t="s">
        <v>62</v>
      </c>
      <c r="F16" t="s">
        <v>58</v>
      </c>
      <c r="G16" t="s">
        <v>64</v>
      </c>
      <c r="H16" s="6">
        <v>280000</v>
      </c>
    </row>
    <row r="17" spans="1:8" x14ac:dyDescent="0.25">
      <c r="A17" s="5">
        <v>2026</v>
      </c>
      <c r="B17" s="5" t="s">
        <v>45</v>
      </c>
      <c r="C17" s="5" t="s">
        <v>74</v>
      </c>
      <c r="D17" s="5" t="s">
        <v>61</v>
      </c>
      <c r="E17" s="6" t="s">
        <v>62</v>
      </c>
      <c r="F17" t="s">
        <v>49</v>
      </c>
      <c r="G17" t="s">
        <v>75</v>
      </c>
      <c r="H17" s="6">
        <v>131000</v>
      </c>
    </row>
    <row r="18" spans="1:8" x14ac:dyDescent="0.25">
      <c r="A18" s="5">
        <v>2026</v>
      </c>
      <c r="B18" s="5" t="s">
        <v>45</v>
      </c>
      <c r="C18" s="5" t="s">
        <v>76</v>
      </c>
      <c r="D18" s="5" t="s">
        <v>61</v>
      </c>
      <c r="E18" s="6" t="s">
        <v>48</v>
      </c>
      <c r="F18" t="s">
        <v>49</v>
      </c>
      <c r="G18" t="s">
        <v>53</v>
      </c>
      <c r="H18" s="6">
        <v>750000</v>
      </c>
    </row>
    <row r="19" spans="1:8" x14ac:dyDescent="0.25">
      <c r="A19" s="5">
        <v>2026</v>
      </c>
      <c r="B19" s="5" t="s">
        <v>45</v>
      </c>
      <c r="C19" s="5" t="s">
        <v>77</v>
      </c>
      <c r="D19" s="5" t="s">
        <v>61</v>
      </c>
      <c r="E19" s="6" t="s">
        <v>52</v>
      </c>
      <c r="F19" t="s">
        <v>55</v>
      </c>
      <c r="G19" t="s">
        <v>67</v>
      </c>
      <c r="H19" s="6">
        <v>100000</v>
      </c>
    </row>
    <row r="20" spans="1:8" x14ac:dyDescent="0.25">
      <c r="A20" s="5">
        <v>2027</v>
      </c>
      <c r="B20" s="5" t="s">
        <v>45</v>
      </c>
      <c r="C20" s="5" t="s">
        <v>78</v>
      </c>
      <c r="D20" s="5" t="s">
        <v>79</v>
      </c>
      <c r="E20" s="6" t="s">
        <v>62</v>
      </c>
      <c r="F20" t="s">
        <v>55</v>
      </c>
      <c r="G20" t="s">
        <v>80</v>
      </c>
      <c r="H20" s="6">
        <v>1420000</v>
      </c>
    </row>
    <row r="21" spans="1:8" x14ac:dyDescent="0.25">
      <c r="A21" s="5">
        <v>2027</v>
      </c>
      <c r="B21" s="5" t="s">
        <v>45</v>
      </c>
      <c r="C21" s="5" t="s">
        <v>81</v>
      </c>
      <c r="D21" s="5" t="s">
        <v>79</v>
      </c>
      <c r="E21" s="6" t="s">
        <v>62</v>
      </c>
      <c r="F21" t="s">
        <v>55</v>
      </c>
      <c r="G21" t="s">
        <v>69</v>
      </c>
      <c r="H21" s="6">
        <v>190000</v>
      </c>
    </row>
    <row r="22" spans="1:8" ht="15" customHeight="1" x14ac:dyDescent="0.25">
      <c r="A22" s="5">
        <v>2027</v>
      </c>
      <c r="B22" s="5" t="s">
        <v>45</v>
      </c>
      <c r="C22" s="5" t="s">
        <v>82</v>
      </c>
      <c r="D22" s="5" t="s">
        <v>79</v>
      </c>
      <c r="E22" s="6" t="s">
        <v>52</v>
      </c>
      <c r="F22" t="s">
        <v>58</v>
      </c>
      <c r="G22" t="s">
        <v>59</v>
      </c>
      <c r="H22" s="6">
        <v>150000</v>
      </c>
    </row>
    <row r="23" spans="1:8" ht="15" customHeight="1" x14ac:dyDescent="0.25">
      <c r="A23" s="5">
        <v>2027</v>
      </c>
      <c r="B23" s="5" t="s">
        <v>45</v>
      </c>
      <c r="C23" s="5" t="s">
        <v>83</v>
      </c>
      <c r="D23" s="5" t="s">
        <v>79</v>
      </c>
      <c r="E23" s="6" t="s">
        <v>62</v>
      </c>
      <c r="F23" t="s">
        <v>58</v>
      </c>
      <c r="G23" t="s">
        <v>59</v>
      </c>
      <c r="H23" s="6">
        <v>84000</v>
      </c>
    </row>
    <row r="24" spans="1:8" ht="15" customHeight="1" x14ac:dyDescent="0.25">
      <c r="A24" s="5">
        <v>2027</v>
      </c>
      <c r="B24" s="5" t="s">
        <v>45</v>
      </c>
      <c r="C24" s="5" t="s">
        <v>84</v>
      </c>
      <c r="D24" s="5" t="s">
        <v>79</v>
      </c>
      <c r="E24" s="6" t="s">
        <v>62</v>
      </c>
      <c r="F24" t="s">
        <v>55</v>
      </c>
      <c r="G24" t="s">
        <v>80</v>
      </c>
      <c r="H24" s="6">
        <v>1000000</v>
      </c>
    </row>
    <row r="25" spans="1:8" ht="15" customHeight="1" x14ac:dyDescent="0.25">
      <c r="A25" s="5">
        <v>2027</v>
      </c>
      <c r="B25" s="5" t="s">
        <v>45</v>
      </c>
      <c r="C25" s="5" t="s">
        <v>85</v>
      </c>
      <c r="D25" s="5" t="s">
        <v>79</v>
      </c>
      <c r="E25" s="6" t="s">
        <v>52</v>
      </c>
      <c r="F25" t="s">
        <v>58</v>
      </c>
      <c r="G25" t="s">
        <v>59</v>
      </c>
      <c r="H25" s="6">
        <v>340000</v>
      </c>
    </row>
    <row r="26" spans="1:8" ht="15" customHeight="1" x14ac:dyDescent="0.25">
      <c r="A26" s="5">
        <v>2027</v>
      </c>
      <c r="B26" s="5" t="s">
        <v>45</v>
      </c>
      <c r="C26" s="5" t="s">
        <v>86</v>
      </c>
      <c r="D26" s="5" t="s">
        <v>79</v>
      </c>
      <c r="E26" s="6" t="s">
        <v>62</v>
      </c>
      <c r="F26" t="s">
        <v>58</v>
      </c>
      <c r="G26" t="s">
        <v>64</v>
      </c>
      <c r="H26" s="6">
        <v>140000</v>
      </c>
    </row>
    <row r="27" spans="1:8" ht="15" customHeight="1" x14ac:dyDescent="0.25">
      <c r="A27" s="5">
        <v>2027</v>
      </c>
      <c r="B27" s="5" t="s">
        <v>45</v>
      </c>
      <c r="C27" s="5" t="s">
        <v>87</v>
      </c>
      <c r="D27" s="5" t="s">
        <v>79</v>
      </c>
      <c r="E27" s="6" t="s">
        <v>48</v>
      </c>
      <c r="F27" t="s">
        <v>58</v>
      </c>
      <c r="G27" t="s">
        <v>88</v>
      </c>
      <c r="H27" s="6">
        <v>450000</v>
      </c>
    </row>
    <row r="28" spans="1:8" ht="15" customHeight="1" x14ac:dyDescent="0.25">
      <c r="A28">
        <v>2027</v>
      </c>
      <c r="B28" t="s">
        <v>175</v>
      </c>
      <c r="C28" t="s">
        <v>179</v>
      </c>
      <c r="D28" t="s">
        <v>79</v>
      </c>
      <c r="E28" t="s">
        <v>52</v>
      </c>
      <c r="F28" t="s">
        <v>58</v>
      </c>
      <c r="G28" t="s">
        <v>59</v>
      </c>
      <c r="H28">
        <v>100000</v>
      </c>
    </row>
    <row r="29" spans="1:8" ht="15" customHeight="1" x14ac:dyDescent="0.25">
      <c r="A29">
        <v>2027</v>
      </c>
      <c r="B29" t="s">
        <v>190</v>
      </c>
      <c r="C29" t="s">
        <v>191</v>
      </c>
      <c r="D29" t="s">
        <v>79</v>
      </c>
      <c r="E29" t="s">
        <v>62</v>
      </c>
      <c r="F29" t="s">
        <v>58</v>
      </c>
      <c r="G29" t="s">
        <v>88</v>
      </c>
      <c r="H29">
        <v>3300000</v>
      </c>
    </row>
    <row r="30" spans="1:8" ht="15" customHeight="1" x14ac:dyDescent="0.25">
      <c r="A30">
        <v>2027</v>
      </c>
      <c r="B30" t="s">
        <v>190</v>
      </c>
      <c r="C30" t="s">
        <v>192</v>
      </c>
      <c r="D30" t="s">
        <v>79</v>
      </c>
      <c r="E30" t="s">
        <v>62</v>
      </c>
      <c r="F30" t="s">
        <v>58</v>
      </c>
      <c r="G30" t="s">
        <v>88</v>
      </c>
      <c r="H30">
        <v>2000000</v>
      </c>
    </row>
    <row r="31" spans="1:8" ht="15" customHeight="1" x14ac:dyDescent="0.25">
      <c r="A31" s="5">
        <v>2028</v>
      </c>
      <c r="B31" s="5" t="s">
        <v>45</v>
      </c>
      <c r="C31" s="5" t="s">
        <v>89</v>
      </c>
      <c r="D31" s="5" t="s">
        <v>79</v>
      </c>
      <c r="E31" s="6" t="s">
        <v>62</v>
      </c>
      <c r="F31" t="s">
        <v>55</v>
      </c>
      <c r="G31" t="s">
        <v>67</v>
      </c>
      <c r="H31" s="6">
        <v>810000</v>
      </c>
    </row>
    <row r="32" spans="1:8" ht="15" customHeight="1" x14ac:dyDescent="0.25">
      <c r="A32" s="5">
        <v>2028</v>
      </c>
      <c r="B32" s="5" t="s">
        <v>45</v>
      </c>
      <c r="C32" s="5" t="s">
        <v>90</v>
      </c>
      <c r="D32" s="5" t="s">
        <v>79</v>
      </c>
      <c r="E32" s="6" t="s">
        <v>62</v>
      </c>
      <c r="F32" t="s">
        <v>55</v>
      </c>
      <c r="G32" t="s">
        <v>91</v>
      </c>
      <c r="H32" s="6">
        <v>700000</v>
      </c>
    </row>
    <row r="33" spans="1:8" ht="15" customHeight="1" x14ac:dyDescent="0.25">
      <c r="A33" s="5">
        <v>2028</v>
      </c>
      <c r="B33" s="5" t="s">
        <v>45</v>
      </c>
      <c r="C33" s="5" t="s">
        <v>92</v>
      </c>
      <c r="D33" s="5" t="s">
        <v>61</v>
      </c>
      <c r="E33" s="6" t="s">
        <v>62</v>
      </c>
      <c r="F33" t="s">
        <v>58</v>
      </c>
      <c r="G33" t="s">
        <v>64</v>
      </c>
      <c r="H33" s="6">
        <v>800000</v>
      </c>
    </row>
    <row r="34" spans="1:8" ht="15" customHeight="1" x14ac:dyDescent="0.25">
      <c r="A34" s="5">
        <v>2028</v>
      </c>
      <c r="B34" s="5" t="s">
        <v>45</v>
      </c>
      <c r="C34" s="5" t="s">
        <v>93</v>
      </c>
      <c r="D34" s="5" t="s">
        <v>79</v>
      </c>
      <c r="E34" s="6" t="s">
        <v>62</v>
      </c>
      <c r="F34" t="s">
        <v>49</v>
      </c>
      <c r="G34" t="s">
        <v>94</v>
      </c>
      <c r="H34" s="6">
        <v>1300000</v>
      </c>
    </row>
    <row r="35" spans="1:8" ht="15" customHeight="1" x14ac:dyDescent="0.25">
      <c r="A35" s="5">
        <v>2028</v>
      </c>
      <c r="B35" s="5" t="s">
        <v>45</v>
      </c>
      <c r="C35" s="5" t="s">
        <v>95</v>
      </c>
      <c r="D35" s="5" t="s">
        <v>79</v>
      </c>
      <c r="E35" s="6" t="s">
        <v>48</v>
      </c>
      <c r="F35" t="s">
        <v>55</v>
      </c>
      <c r="G35" t="s">
        <v>67</v>
      </c>
      <c r="H35" s="6">
        <v>800000</v>
      </c>
    </row>
    <row r="36" spans="1:8" ht="15" customHeight="1" x14ac:dyDescent="0.25">
      <c r="A36" s="5">
        <v>2028</v>
      </c>
      <c r="B36" s="5" t="s">
        <v>45</v>
      </c>
      <c r="C36" s="5" t="s">
        <v>96</v>
      </c>
      <c r="D36" s="5" t="s">
        <v>79</v>
      </c>
      <c r="E36" s="6" t="s">
        <v>62</v>
      </c>
      <c r="F36" t="s">
        <v>55</v>
      </c>
      <c r="G36" t="s">
        <v>67</v>
      </c>
      <c r="H36" s="6">
        <v>366000</v>
      </c>
    </row>
    <row r="37" spans="1:8" ht="15" customHeight="1" x14ac:dyDescent="0.25">
      <c r="A37" s="5">
        <v>2028</v>
      </c>
      <c r="B37" s="5" t="s">
        <v>45</v>
      </c>
      <c r="C37" s="5" t="s">
        <v>97</v>
      </c>
      <c r="D37" s="5" t="s">
        <v>79</v>
      </c>
      <c r="E37" s="6" t="s">
        <v>62</v>
      </c>
      <c r="F37" t="s">
        <v>49</v>
      </c>
      <c r="G37" t="s">
        <v>50</v>
      </c>
      <c r="H37" s="6">
        <v>1000000</v>
      </c>
    </row>
    <row r="38" spans="1:8" ht="15" customHeight="1" x14ac:dyDescent="0.25">
      <c r="A38" s="5">
        <v>2028</v>
      </c>
      <c r="B38" s="5" t="s">
        <v>45</v>
      </c>
      <c r="C38" s="5" t="s">
        <v>98</v>
      </c>
      <c r="D38" s="5" t="s">
        <v>61</v>
      </c>
      <c r="E38" s="6" t="s">
        <v>62</v>
      </c>
      <c r="F38" t="s">
        <v>58</v>
      </c>
      <c r="G38" t="s">
        <v>59</v>
      </c>
      <c r="H38" s="6">
        <v>210000</v>
      </c>
    </row>
    <row r="39" spans="1:8" ht="15" customHeight="1" x14ac:dyDescent="0.25">
      <c r="A39" s="5">
        <v>2028</v>
      </c>
      <c r="B39" s="5" t="s">
        <v>45</v>
      </c>
      <c r="C39" s="5" t="s">
        <v>99</v>
      </c>
      <c r="D39" s="5" t="s">
        <v>79</v>
      </c>
      <c r="E39" s="6" t="s">
        <v>52</v>
      </c>
      <c r="F39" t="s">
        <v>58</v>
      </c>
      <c r="G39" t="s">
        <v>59</v>
      </c>
      <c r="H39" s="6">
        <v>150000</v>
      </c>
    </row>
    <row r="40" spans="1:8" ht="15" customHeight="1" x14ac:dyDescent="0.25">
      <c r="A40" s="5">
        <v>2028</v>
      </c>
      <c r="B40" s="5" t="s">
        <v>45</v>
      </c>
      <c r="C40" s="5" t="s">
        <v>100</v>
      </c>
      <c r="D40" s="5" t="s">
        <v>79</v>
      </c>
      <c r="E40" s="6" t="s">
        <v>52</v>
      </c>
      <c r="F40" t="s">
        <v>58</v>
      </c>
      <c r="G40" t="s">
        <v>59</v>
      </c>
      <c r="H40" s="6">
        <v>110000</v>
      </c>
    </row>
    <row r="41" spans="1:8" ht="15" customHeight="1" x14ac:dyDescent="0.25">
      <c r="A41" s="5">
        <v>2028</v>
      </c>
      <c r="B41" s="5" t="s">
        <v>45</v>
      </c>
      <c r="C41" s="5" t="s">
        <v>101</v>
      </c>
      <c r="D41" s="5" t="s">
        <v>79</v>
      </c>
      <c r="E41" s="6" t="s">
        <v>52</v>
      </c>
      <c r="F41" t="s">
        <v>58</v>
      </c>
      <c r="G41" t="s">
        <v>64</v>
      </c>
      <c r="H41" s="6">
        <v>100000</v>
      </c>
    </row>
    <row r="42" spans="1:8" ht="15" customHeight="1" x14ac:dyDescent="0.25">
      <c r="A42" s="5">
        <v>2028</v>
      </c>
      <c r="B42" s="5" t="s">
        <v>45</v>
      </c>
      <c r="C42" s="5" t="s">
        <v>102</v>
      </c>
      <c r="D42" s="5" t="s">
        <v>79</v>
      </c>
      <c r="E42" s="6" t="s">
        <v>52</v>
      </c>
      <c r="F42" t="s">
        <v>58</v>
      </c>
      <c r="G42" t="s">
        <v>64</v>
      </c>
      <c r="H42" s="6">
        <v>123000</v>
      </c>
    </row>
    <row r="43" spans="1:8" ht="15" customHeight="1" x14ac:dyDescent="0.25">
      <c r="A43" s="5">
        <v>2028</v>
      </c>
      <c r="B43" s="5" t="s">
        <v>45</v>
      </c>
      <c r="C43" s="5" t="s">
        <v>103</v>
      </c>
      <c r="D43" s="5" t="s">
        <v>79</v>
      </c>
      <c r="E43" s="6" t="s">
        <v>52</v>
      </c>
      <c r="F43" t="s">
        <v>55</v>
      </c>
      <c r="G43" t="s">
        <v>67</v>
      </c>
      <c r="H43" s="6">
        <v>200000</v>
      </c>
    </row>
    <row r="44" spans="1:8" ht="15" customHeight="1" x14ac:dyDescent="0.25">
      <c r="A44" s="5">
        <v>2028</v>
      </c>
      <c r="B44" s="5" t="s">
        <v>45</v>
      </c>
      <c r="C44" s="5" t="s">
        <v>104</v>
      </c>
      <c r="D44" s="5" t="s">
        <v>79</v>
      </c>
      <c r="E44" s="6" t="s">
        <v>48</v>
      </c>
      <c r="F44" t="s">
        <v>58</v>
      </c>
      <c r="G44" t="s">
        <v>59</v>
      </c>
      <c r="H44" s="6">
        <v>500000</v>
      </c>
    </row>
    <row r="45" spans="1:8" ht="15" customHeight="1" x14ac:dyDescent="0.25">
      <c r="A45" s="5">
        <v>2028</v>
      </c>
      <c r="B45" s="5" t="s">
        <v>45</v>
      </c>
      <c r="C45" s="5" t="s">
        <v>105</v>
      </c>
      <c r="D45" s="5" t="s">
        <v>79</v>
      </c>
      <c r="E45" s="6" t="s">
        <v>62</v>
      </c>
      <c r="F45" t="s">
        <v>49</v>
      </c>
      <c r="G45" t="s">
        <v>94</v>
      </c>
      <c r="H45" s="6">
        <v>2500000</v>
      </c>
    </row>
    <row r="46" spans="1:8" ht="15" customHeight="1" x14ac:dyDescent="0.25">
      <c r="A46">
        <v>2028</v>
      </c>
      <c r="B46" t="s">
        <v>175</v>
      </c>
      <c r="C46" t="s">
        <v>180</v>
      </c>
      <c r="D46" t="s">
        <v>79</v>
      </c>
      <c r="E46" t="s">
        <v>62</v>
      </c>
      <c r="F46" t="s">
        <v>55</v>
      </c>
      <c r="G46" t="s">
        <v>56</v>
      </c>
      <c r="H46">
        <v>260000</v>
      </c>
    </row>
    <row r="47" spans="1:8" ht="15" customHeight="1" x14ac:dyDescent="0.25">
      <c r="A47">
        <v>2028</v>
      </c>
      <c r="B47" t="s">
        <v>175</v>
      </c>
      <c r="C47" t="s">
        <v>181</v>
      </c>
      <c r="D47" t="s">
        <v>79</v>
      </c>
      <c r="E47" t="s">
        <v>52</v>
      </c>
      <c r="F47" t="s">
        <v>58</v>
      </c>
      <c r="G47" t="s">
        <v>59</v>
      </c>
      <c r="H47">
        <v>100000</v>
      </c>
    </row>
    <row r="48" spans="1:8" ht="15" customHeight="1" x14ac:dyDescent="0.25">
      <c r="A48">
        <v>2028</v>
      </c>
      <c r="B48" t="s">
        <v>190</v>
      </c>
      <c r="C48" t="s">
        <v>193</v>
      </c>
      <c r="D48" t="s">
        <v>79</v>
      </c>
      <c r="E48" t="s">
        <v>48</v>
      </c>
      <c r="F48" t="s">
        <v>58</v>
      </c>
      <c r="G48" t="s">
        <v>88</v>
      </c>
      <c r="H48">
        <v>3000000</v>
      </c>
    </row>
    <row r="49" spans="1:8" ht="15" customHeight="1" x14ac:dyDescent="0.25">
      <c r="A49">
        <v>2028</v>
      </c>
      <c r="B49" t="s">
        <v>190</v>
      </c>
      <c r="C49" t="s">
        <v>194</v>
      </c>
      <c r="D49" t="s">
        <v>79</v>
      </c>
      <c r="E49" t="s">
        <v>62</v>
      </c>
      <c r="F49" t="s">
        <v>58</v>
      </c>
      <c r="G49" t="s">
        <v>64</v>
      </c>
      <c r="H49">
        <v>4300000</v>
      </c>
    </row>
    <row r="50" spans="1:8" ht="15" customHeight="1" x14ac:dyDescent="0.25">
      <c r="A50">
        <v>2028</v>
      </c>
      <c r="B50" t="s">
        <v>190</v>
      </c>
      <c r="C50" t="s">
        <v>195</v>
      </c>
      <c r="D50" t="s">
        <v>79</v>
      </c>
      <c r="E50" t="s">
        <v>62</v>
      </c>
      <c r="F50" t="s">
        <v>49</v>
      </c>
      <c r="G50" t="s">
        <v>75</v>
      </c>
      <c r="H50">
        <v>345000</v>
      </c>
    </row>
    <row r="51" spans="1:8" ht="15" customHeight="1" x14ac:dyDescent="0.25">
      <c r="A51">
        <v>2028</v>
      </c>
      <c r="B51" t="s">
        <v>190</v>
      </c>
      <c r="C51" t="s">
        <v>196</v>
      </c>
      <c r="D51" t="s">
        <v>79</v>
      </c>
      <c r="E51" t="s">
        <v>62</v>
      </c>
      <c r="F51" t="s">
        <v>49</v>
      </c>
      <c r="G51" t="s">
        <v>94</v>
      </c>
      <c r="H51">
        <v>823000</v>
      </c>
    </row>
    <row r="52" spans="1:8" ht="15" customHeight="1" x14ac:dyDescent="0.25">
      <c r="A52">
        <v>2028</v>
      </c>
      <c r="B52" t="s">
        <v>190</v>
      </c>
      <c r="C52" t="s">
        <v>197</v>
      </c>
      <c r="D52" t="s">
        <v>61</v>
      </c>
      <c r="E52" t="s">
        <v>62</v>
      </c>
      <c r="F52" t="s">
        <v>58</v>
      </c>
      <c r="G52" t="s">
        <v>88</v>
      </c>
      <c r="H52">
        <v>2400000</v>
      </c>
    </row>
    <row r="53" spans="1:8" ht="15" customHeight="1" x14ac:dyDescent="0.25">
      <c r="A53">
        <v>2028</v>
      </c>
      <c r="B53" t="s">
        <v>190</v>
      </c>
      <c r="C53" t="s">
        <v>198</v>
      </c>
      <c r="D53" t="s">
        <v>79</v>
      </c>
      <c r="E53" t="s">
        <v>62</v>
      </c>
      <c r="F53" t="s">
        <v>49</v>
      </c>
      <c r="G53" t="s">
        <v>53</v>
      </c>
      <c r="H53">
        <v>500000</v>
      </c>
    </row>
    <row r="54" spans="1:8" ht="15" customHeight="1" x14ac:dyDescent="0.25">
      <c r="A54">
        <v>2028</v>
      </c>
      <c r="B54" t="s">
        <v>190</v>
      </c>
      <c r="C54" t="s">
        <v>199</v>
      </c>
      <c r="D54" t="s">
        <v>79</v>
      </c>
      <c r="E54" t="s">
        <v>62</v>
      </c>
      <c r="F54" t="s">
        <v>49</v>
      </c>
      <c r="G54" t="s">
        <v>94</v>
      </c>
      <c r="H54">
        <v>650000</v>
      </c>
    </row>
    <row r="55" spans="1:8" ht="15" customHeight="1" x14ac:dyDescent="0.25">
      <c r="A55">
        <v>2028</v>
      </c>
      <c r="B55" t="s">
        <v>190</v>
      </c>
      <c r="C55" t="s">
        <v>200</v>
      </c>
      <c r="D55" t="s">
        <v>79</v>
      </c>
      <c r="E55" t="s">
        <v>62</v>
      </c>
      <c r="F55" t="s">
        <v>58</v>
      </c>
      <c r="G55" t="s">
        <v>59</v>
      </c>
      <c r="H55">
        <v>900000</v>
      </c>
    </row>
    <row r="56" spans="1:8" ht="15" customHeight="1" x14ac:dyDescent="0.25">
      <c r="A56">
        <v>2028</v>
      </c>
      <c r="B56" t="s">
        <v>190</v>
      </c>
      <c r="C56" t="s">
        <v>201</v>
      </c>
      <c r="D56" t="s">
        <v>79</v>
      </c>
      <c r="E56" t="s">
        <v>62</v>
      </c>
      <c r="F56" t="s">
        <v>49</v>
      </c>
      <c r="G56" t="s">
        <v>53</v>
      </c>
      <c r="H56">
        <v>860000</v>
      </c>
    </row>
    <row r="57" spans="1:8" ht="15" customHeight="1" x14ac:dyDescent="0.25">
      <c r="A57">
        <v>2028</v>
      </c>
      <c r="B57" t="s">
        <v>190</v>
      </c>
      <c r="C57" t="s">
        <v>202</v>
      </c>
      <c r="D57" t="s">
        <v>79</v>
      </c>
      <c r="E57" t="s">
        <v>62</v>
      </c>
      <c r="F57" t="s">
        <v>49</v>
      </c>
      <c r="G57" t="s">
        <v>94</v>
      </c>
      <c r="H57">
        <v>1900000</v>
      </c>
    </row>
    <row r="58" spans="1:8" ht="15" customHeight="1" x14ac:dyDescent="0.25">
      <c r="A58" s="5">
        <v>2029</v>
      </c>
      <c r="B58" s="5" t="s">
        <v>45</v>
      </c>
      <c r="C58" s="5" t="s">
        <v>106</v>
      </c>
      <c r="D58" s="5" t="s">
        <v>79</v>
      </c>
      <c r="E58" s="6" t="s">
        <v>62</v>
      </c>
      <c r="F58" t="s">
        <v>55</v>
      </c>
      <c r="G58" t="s">
        <v>67</v>
      </c>
      <c r="H58" s="6">
        <v>1100000</v>
      </c>
    </row>
    <row r="59" spans="1:8" ht="15" customHeight="1" x14ac:dyDescent="0.25">
      <c r="A59" s="5">
        <v>2029</v>
      </c>
      <c r="B59" s="5" t="s">
        <v>45</v>
      </c>
      <c r="C59" s="5" t="s">
        <v>107</v>
      </c>
      <c r="D59" s="5" t="s">
        <v>61</v>
      </c>
      <c r="E59" s="6" t="s">
        <v>62</v>
      </c>
      <c r="F59" t="s">
        <v>55</v>
      </c>
      <c r="G59" t="s">
        <v>67</v>
      </c>
      <c r="H59" s="6">
        <v>1000000</v>
      </c>
    </row>
    <row r="60" spans="1:8" ht="15" customHeight="1" x14ac:dyDescent="0.25">
      <c r="A60" s="5">
        <v>2029</v>
      </c>
      <c r="B60" s="5" t="s">
        <v>45</v>
      </c>
      <c r="C60" s="5" t="s">
        <v>108</v>
      </c>
      <c r="D60" s="5" t="s">
        <v>79</v>
      </c>
      <c r="E60" s="6" t="s">
        <v>62</v>
      </c>
      <c r="F60" t="s">
        <v>55</v>
      </c>
      <c r="G60" t="s">
        <v>67</v>
      </c>
      <c r="H60" s="6">
        <v>1400000</v>
      </c>
    </row>
    <row r="61" spans="1:8" ht="15" customHeight="1" x14ac:dyDescent="0.25">
      <c r="A61" s="5">
        <v>2029</v>
      </c>
      <c r="B61" s="5" t="s">
        <v>45</v>
      </c>
      <c r="C61" s="5" t="s">
        <v>109</v>
      </c>
      <c r="D61" s="5" t="s">
        <v>79</v>
      </c>
      <c r="E61" s="6" t="s">
        <v>62</v>
      </c>
      <c r="F61" t="s">
        <v>58</v>
      </c>
      <c r="G61" t="s">
        <v>64</v>
      </c>
      <c r="H61" s="6">
        <v>200000</v>
      </c>
    </row>
    <row r="62" spans="1:8" ht="15" customHeight="1" x14ac:dyDescent="0.25">
      <c r="A62" s="5">
        <v>2029</v>
      </c>
      <c r="B62" s="5" t="s">
        <v>45</v>
      </c>
      <c r="C62" s="5" t="s">
        <v>110</v>
      </c>
      <c r="D62" s="5" t="s">
        <v>79</v>
      </c>
      <c r="E62" s="6" t="s">
        <v>62</v>
      </c>
      <c r="F62" t="s">
        <v>55</v>
      </c>
      <c r="G62" t="s">
        <v>67</v>
      </c>
      <c r="H62" s="6">
        <v>700000</v>
      </c>
    </row>
    <row r="63" spans="1:8" ht="15" customHeight="1" x14ac:dyDescent="0.25">
      <c r="A63" s="5">
        <v>2029</v>
      </c>
      <c r="B63" s="5" t="s">
        <v>45</v>
      </c>
      <c r="C63" s="5" t="s">
        <v>111</v>
      </c>
      <c r="D63" s="5" t="s">
        <v>79</v>
      </c>
      <c r="E63" s="6" t="s">
        <v>52</v>
      </c>
      <c r="F63" t="s">
        <v>58</v>
      </c>
      <c r="G63" t="s">
        <v>64</v>
      </c>
      <c r="H63" s="6">
        <v>110000</v>
      </c>
    </row>
    <row r="64" spans="1:8" ht="15" customHeight="1" x14ac:dyDescent="0.25">
      <c r="A64" s="5">
        <v>2029</v>
      </c>
      <c r="B64" s="5" t="s">
        <v>45</v>
      </c>
      <c r="C64" s="5" t="s">
        <v>112</v>
      </c>
      <c r="D64" s="5" t="s">
        <v>79</v>
      </c>
      <c r="E64" s="6" t="s">
        <v>52</v>
      </c>
      <c r="F64" t="s">
        <v>58</v>
      </c>
      <c r="G64" t="s">
        <v>64</v>
      </c>
      <c r="H64" s="6">
        <v>110000</v>
      </c>
    </row>
    <row r="65" spans="1:8" ht="15" customHeight="1" x14ac:dyDescent="0.25">
      <c r="A65" s="5">
        <v>2029</v>
      </c>
      <c r="B65" s="5" t="s">
        <v>45</v>
      </c>
      <c r="C65" s="5" t="s">
        <v>113</v>
      </c>
      <c r="D65" s="5" t="s">
        <v>79</v>
      </c>
      <c r="E65" s="6" t="s">
        <v>52</v>
      </c>
      <c r="F65" t="s">
        <v>58</v>
      </c>
      <c r="G65" t="s">
        <v>59</v>
      </c>
      <c r="H65" s="6">
        <v>110000</v>
      </c>
    </row>
    <row r="66" spans="1:8" ht="15" customHeight="1" x14ac:dyDescent="0.25">
      <c r="A66" s="5">
        <v>2029</v>
      </c>
      <c r="B66" s="5" t="s">
        <v>45</v>
      </c>
      <c r="C66" s="5" t="s">
        <v>114</v>
      </c>
      <c r="D66" s="5" t="s">
        <v>79</v>
      </c>
      <c r="E66" s="6" t="s">
        <v>62</v>
      </c>
      <c r="F66" t="s">
        <v>55</v>
      </c>
      <c r="G66" t="s">
        <v>91</v>
      </c>
      <c r="H66" s="6">
        <v>1400000</v>
      </c>
    </row>
    <row r="67" spans="1:8" ht="15" customHeight="1" x14ac:dyDescent="0.25">
      <c r="A67" s="5">
        <v>2029</v>
      </c>
      <c r="B67" s="5" t="s">
        <v>45</v>
      </c>
      <c r="C67" s="5" t="s">
        <v>115</v>
      </c>
      <c r="D67" s="5" t="s">
        <v>79</v>
      </c>
      <c r="E67" s="6" t="s">
        <v>62</v>
      </c>
      <c r="F67" t="s">
        <v>55</v>
      </c>
      <c r="G67" t="s">
        <v>67</v>
      </c>
      <c r="H67" s="6">
        <v>739000</v>
      </c>
    </row>
    <row r="68" spans="1:8" ht="15" customHeight="1" x14ac:dyDescent="0.25">
      <c r="A68" s="5">
        <v>2029</v>
      </c>
      <c r="B68" s="5" t="s">
        <v>45</v>
      </c>
      <c r="C68" s="5" t="s">
        <v>116</v>
      </c>
      <c r="D68" s="5" t="s">
        <v>79</v>
      </c>
      <c r="E68" s="6" t="s">
        <v>62</v>
      </c>
      <c r="F68" t="s">
        <v>49</v>
      </c>
      <c r="G68" t="s">
        <v>94</v>
      </c>
      <c r="H68" s="6">
        <v>858000</v>
      </c>
    </row>
    <row r="69" spans="1:8" ht="15" customHeight="1" x14ac:dyDescent="0.25">
      <c r="A69" s="5">
        <v>2029</v>
      </c>
      <c r="B69" s="5" t="s">
        <v>45</v>
      </c>
      <c r="C69" s="5" t="s">
        <v>117</v>
      </c>
      <c r="D69" s="5" t="s">
        <v>79</v>
      </c>
      <c r="E69" s="6" t="s">
        <v>62</v>
      </c>
      <c r="F69" t="s">
        <v>55</v>
      </c>
      <c r="G69" t="s">
        <v>67</v>
      </c>
      <c r="H69" s="6">
        <v>1900000</v>
      </c>
    </row>
    <row r="70" spans="1:8" ht="15" customHeight="1" x14ac:dyDescent="0.25">
      <c r="A70" s="5">
        <v>2029</v>
      </c>
      <c r="B70" s="5" t="s">
        <v>45</v>
      </c>
      <c r="C70" s="5" t="s">
        <v>118</v>
      </c>
      <c r="D70" s="5" t="s">
        <v>79</v>
      </c>
      <c r="E70" s="6" t="s">
        <v>62</v>
      </c>
      <c r="F70" t="s">
        <v>55</v>
      </c>
      <c r="G70" t="s">
        <v>56</v>
      </c>
      <c r="H70" s="6">
        <v>112000</v>
      </c>
    </row>
    <row r="71" spans="1:8" ht="15" customHeight="1" x14ac:dyDescent="0.25">
      <c r="A71" s="5">
        <v>2029</v>
      </c>
      <c r="B71" s="5" t="s">
        <v>45</v>
      </c>
      <c r="C71" s="5" t="s">
        <v>119</v>
      </c>
      <c r="D71" s="5" t="s">
        <v>79</v>
      </c>
      <c r="E71" s="6" t="s">
        <v>52</v>
      </c>
      <c r="F71" t="s">
        <v>58</v>
      </c>
      <c r="G71" t="s">
        <v>64</v>
      </c>
      <c r="H71" s="6">
        <v>350000</v>
      </c>
    </row>
    <row r="72" spans="1:8" ht="15" customHeight="1" x14ac:dyDescent="0.25">
      <c r="A72" s="5">
        <v>2029</v>
      </c>
      <c r="B72" s="5" t="s">
        <v>45</v>
      </c>
      <c r="C72" s="5" t="s">
        <v>120</v>
      </c>
      <c r="D72" s="5" t="s">
        <v>79</v>
      </c>
      <c r="E72" s="6" t="s">
        <v>52</v>
      </c>
      <c r="F72" t="s">
        <v>55</v>
      </c>
      <c r="G72" t="s">
        <v>121</v>
      </c>
      <c r="H72" s="6">
        <v>600000</v>
      </c>
    </row>
    <row r="73" spans="1:8" ht="15" customHeight="1" x14ac:dyDescent="0.25">
      <c r="A73" s="5">
        <v>2029</v>
      </c>
      <c r="B73" s="5" t="s">
        <v>45</v>
      </c>
      <c r="C73" s="5" t="s">
        <v>122</v>
      </c>
      <c r="D73" s="5" t="s">
        <v>79</v>
      </c>
      <c r="E73" s="6" t="s">
        <v>52</v>
      </c>
      <c r="F73" t="s">
        <v>55</v>
      </c>
      <c r="G73" t="s">
        <v>121</v>
      </c>
      <c r="H73" s="6">
        <v>330000</v>
      </c>
    </row>
    <row r="74" spans="1:8" ht="15" customHeight="1" x14ac:dyDescent="0.25">
      <c r="A74" s="5">
        <v>2029</v>
      </c>
      <c r="B74" s="5" t="s">
        <v>45</v>
      </c>
      <c r="C74" s="5" t="s">
        <v>123</v>
      </c>
      <c r="D74" s="5" t="s">
        <v>79</v>
      </c>
      <c r="E74" s="6" t="s">
        <v>62</v>
      </c>
      <c r="F74" t="s">
        <v>58</v>
      </c>
      <c r="G74" t="s">
        <v>59</v>
      </c>
      <c r="H74" s="6">
        <v>280000</v>
      </c>
    </row>
    <row r="75" spans="1:8" ht="15" customHeight="1" x14ac:dyDescent="0.25">
      <c r="A75" s="5">
        <v>2029</v>
      </c>
      <c r="B75" s="5" t="s">
        <v>45</v>
      </c>
      <c r="C75" s="5" t="s">
        <v>124</v>
      </c>
      <c r="D75" s="5" t="s">
        <v>79</v>
      </c>
      <c r="E75" s="6" t="s">
        <v>62</v>
      </c>
      <c r="F75" t="s">
        <v>55</v>
      </c>
      <c r="G75" t="s">
        <v>67</v>
      </c>
      <c r="H75" s="6">
        <v>620000</v>
      </c>
    </row>
    <row r="76" spans="1:8" ht="15" customHeight="1" x14ac:dyDescent="0.25">
      <c r="A76">
        <v>2029</v>
      </c>
      <c r="B76" t="s">
        <v>175</v>
      </c>
      <c r="C76" t="s">
        <v>182</v>
      </c>
      <c r="D76" t="s">
        <v>61</v>
      </c>
      <c r="E76" t="s">
        <v>62</v>
      </c>
      <c r="F76" t="s">
        <v>58</v>
      </c>
      <c r="G76" t="s">
        <v>59</v>
      </c>
      <c r="H76">
        <v>350000</v>
      </c>
    </row>
    <row r="77" spans="1:8" ht="15" customHeight="1" x14ac:dyDescent="0.25">
      <c r="A77">
        <v>2029</v>
      </c>
      <c r="B77" t="s">
        <v>190</v>
      </c>
      <c r="C77" t="s">
        <v>203</v>
      </c>
      <c r="D77" t="s">
        <v>61</v>
      </c>
      <c r="E77" t="s">
        <v>62</v>
      </c>
      <c r="F77" t="s">
        <v>55</v>
      </c>
      <c r="G77" t="s">
        <v>67</v>
      </c>
      <c r="H77">
        <v>800000</v>
      </c>
    </row>
    <row r="78" spans="1:8" ht="15" customHeight="1" x14ac:dyDescent="0.25">
      <c r="A78">
        <v>2029</v>
      </c>
      <c r="B78" t="s">
        <v>190</v>
      </c>
      <c r="C78" t="s">
        <v>204</v>
      </c>
      <c r="D78" t="s">
        <v>79</v>
      </c>
      <c r="E78" t="s">
        <v>62</v>
      </c>
      <c r="F78" t="s">
        <v>58</v>
      </c>
      <c r="G78" t="s">
        <v>59</v>
      </c>
      <c r="H78">
        <v>400000</v>
      </c>
    </row>
    <row r="79" spans="1:8" ht="15" customHeight="1" x14ac:dyDescent="0.25">
      <c r="A79">
        <v>2029</v>
      </c>
      <c r="B79" t="s">
        <v>190</v>
      </c>
      <c r="C79" t="s">
        <v>205</v>
      </c>
      <c r="D79" t="s">
        <v>79</v>
      </c>
      <c r="E79" t="s">
        <v>62</v>
      </c>
      <c r="F79" t="s">
        <v>58</v>
      </c>
      <c r="G79" t="s">
        <v>59</v>
      </c>
      <c r="H79">
        <v>240000</v>
      </c>
    </row>
    <row r="80" spans="1:8" ht="15" customHeight="1" x14ac:dyDescent="0.25">
      <c r="A80">
        <v>2029</v>
      </c>
      <c r="B80" t="s">
        <v>190</v>
      </c>
      <c r="C80" t="s">
        <v>206</v>
      </c>
      <c r="D80" t="s">
        <v>79</v>
      </c>
      <c r="E80" t="s">
        <v>62</v>
      </c>
      <c r="F80" t="s">
        <v>58</v>
      </c>
      <c r="G80" t="s">
        <v>59</v>
      </c>
      <c r="H80">
        <v>250000</v>
      </c>
    </row>
    <row r="81" spans="1:8" ht="15" customHeight="1" x14ac:dyDescent="0.25">
      <c r="A81">
        <v>2029</v>
      </c>
      <c r="B81" t="s">
        <v>190</v>
      </c>
      <c r="C81" t="s">
        <v>207</v>
      </c>
      <c r="D81" t="s">
        <v>61</v>
      </c>
      <c r="E81" t="s">
        <v>62</v>
      </c>
      <c r="F81" t="s">
        <v>58</v>
      </c>
      <c r="G81" t="s">
        <v>59</v>
      </c>
      <c r="H81">
        <v>380000</v>
      </c>
    </row>
    <row r="82" spans="1:8" ht="15" customHeight="1" x14ac:dyDescent="0.25">
      <c r="A82">
        <v>2029</v>
      </c>
      <c r="B82" t="s">
        <v>190</v>
      </c>
      <c r="C82" t="s">
        <v>208</v>
      </c>
      <c r="D82" t="s">
        <v>79</v>
      </c>
      <c r="E82" t="s">
        <v>62</v>
      </c>
      <c r="F82" t="s">
        <v>58</v>
      </c>
      <c r="G82" t="s">
        <v>88</v>
      </c>
      <c r="H82">
        <v>1000000</v>
      </c>
    </row>
    <row r="83" spans="1:8" ht="15" customHeight="1" x14ac:dyDescent="0.25">
      <c r="A83" s="5">
        <v>2030</v>
      </c>
      <c r="B83" s="5" t="s">
        <v>45</v>
      </c>
      <c r="C83" s="5" t="s">
        <v>125</v>
      </c>
      <c r="D83" s="5" t="s">
        <v>79</v>
      </c>
      <c r="E83" s="6" t="s">
        <v>52</v>
      </c>
      <c r="F83" t="s">
        <v>55</v>
      </c>
      <c r="G83" t="s">
        <v>67</v>
      </c>
      <c r="H83" s="6">
        <v>750000</v>
      </c>
    </row>
    <row r="84" spans="1:8" ht="15" customHeight="1" x14ac:dyDescent="0.25">
      <c r="A84" s="5">
        <v>2030</v>
      </c>
      <c r="B84" s="5" t="s">
        <v>45</v>
      </c>
      <c r="C84" s="5" t="s">
        <v>126</v>
      </c>
      <c r="D84" s="5" t="s">
        <v>79</v>
      </c>
      <c r="E84" s="6" t="s">
        <v>62</v>
      </c>
      <c r="F84" t="s">
        <v>49</v>
      </c>
      <c r="G84" t="s">
        <v>94</v>
      </c>
      <c r="H84" s="6">
        <v>2500000</v>
      </c>
    </row>
    <row r="85" spans="1:8" ht="15" customHeight="1" x14ac:dyDescent="0.25">
      <c r="A85" s="5">
        <v>2030</v>
      </c>
      <c r="B85" s="5" t="s">
        <v>45</v>
      </c>
      <c r="C85" s="5" t="s">
        <v>127</v>
      </c>
      <c r="D85" s="5" t="s">
        <v>79</v>
      </c>
      <c r="E85" s="6" t="s">
        <v>62</v>
      </c>
      <c r="F85" t="s">
        <v>58</v>
      </c>
      <c r="G85" t="s">
        <v>88</v>
      </c>
      <c r="H85" s="6">
        <v>800000</v>
      </c>
    </row>
    <row r="86" spans="1:8" ht="15" customHeight="1" x14ac:dyDescent="0.25">
      <c r="A86" s="5">
        <v>2030</v>
      </c>
      <c r="B86" s="5" t="s">
        <v>45</v>
      </c>
      <c r="C86" s="5" t="s">
        <v>128</v>
      </c>
      <c r="D86" s="5" t="s">
        <v>79</v>
      </c>
      <c r="E86" s="6" t="s">
        <v>62</v>
      </c>
      <c r="F86" t="s">
        <v>49</v>
      </c>
      <c r="G86" t="s">
        <v>53</v>
      </c>
      <c r="H86" s="6">
        <v>200000</v>
      </c>
    </row>
    <row r="87" spans="1:8" ht="15" customHeight="1" x14ac:dyDescent="0.25">
      <c r="A87" s="5">
        <v>2030</v>
      </c>
      <c r="B87" s="5" t="s">
        <v>45</v>
      </c>
      <c r="C87" s="5" t="s">
        <v>129</v>
      </c>
      <c r="D87" s="5" t="s">
        <v>79</v>
      </c>
      <c r="E87" s="6" t="s">
        <v>62</v>
      </c>
      <c r="F87" t="s">
        <v>49</v>
      </c>
      <c r="G87" t="s">
        <v>53</v>
      </c>
      <c r="H87" s="6">
        <v>2500000</v>
      </c>
    </row>
    <row r="88" spans="1:8" ht="15" customHeight="1" x14ac:dyDescent="0.25">
      <c r="A88" s="5">
        <v>2030</v>
      </c>
      <c r="B88" s="5" t="s">
        <v>45</v>
      </c>
      <c r="C88" s="5" t="s">
        <v>130</v>
      </c>
      <c r="D88" s="5" t="s">
        <v>79</v>
      </c>
      <c r="E88" s="6" t="s">
        <v>52</v>
      </c>
      <c r="F88" t="s">
        <v>55</v>
      </c>
      <c r="G88" t="s">
        <v>67</v>
      </c>
      <c r="H88" s="6">
        <v>1200000</v>
      </c>
    </row>
    <row r="89" spans="1:8" ht="15" customHeight="1" x14ac:dyDescent="0.25">
      <c r="A89" s="5">
        <v>2030</v>
      </c>
      <c r="B89" s="5" t="s">
        <v>45</v>
      </c>
      <c r="C89" s="5" t="s">
        <v>131</v>
      </c>
      <c r="D89" s="5" t="s">
        <v>79</v>
      </c>
      <c r="E89" s="6" t="s">
        <v>62</v>
      </c>
      <c r="F89" t="s">
        <v>49</v>
      </c>
      <c r="G89" t="s">
        <v>53</v>
      </c>
      <c r="H89" s="6">
        <v>1300000</v>
      </c>
    </row>
    <row r="90" spans="1:8" ht="15" customHeight="1" x14ac:dyDescent="0.25">
      <c r="A90">
        <v>2030</v>
      </c>
      <c r="B90" s="5" t="s">
        <v>45</v>
      </c>
      <c r="C90" t="s">
        <v>132</v>
      </c>
      <c r="D90" t="s">
        <v>79</v>
      </c>
      <c r="E90" t="s">
        <v>62</v>
      </c>
      <c r="F90" t="s">
        <v>49</v>
      </c>
      <c r="G90" t="s">
        <v>53</v>
      </c>
      <c r="H90">
        <v>500000</v>
      </c>
    </row>
    <row r="91" spans="1:8" ht="15" customHeight="1" x14ac:dyDescent="0.25">
      <c r="A91">
        <v>2030</v>
      </c>
      <c r="B91" s="5" t="s">
        <v>45</v>
      </c>
      <c r="C91" t="s">
        <v>133</v>
      </c>
      <c r="D91" t="s">
        <v>79</v>
      </c>
      <c r="E91" t="s">
        <v>62</v>
      </c>
      <c r="F91" t="s">
        <v>58</v>
      </c>
      <c r="G91" t="s">
        <v>59</v>
      </c>
      <c r="H91">
        <v>500000</v>
      </c>
    </row>
    <row r="92" spans="1:8" ht="15" customHeight="1" x14ac:dyDescent="0.25">
      <c r="A92">
        <v>2030</v>
      </c>
      <c r="B92" s="5" t="s">
        <v>45</v>
      </c>
      <c r="C92" t="s">
        <v>134</v>
      </c>
      <c r="D92" t="s">
        <v>79</v>
      </c>
      <c r="E92" t="s">
        <v>62</v>
      </c>
      <c r="F92" t="s">
        <v>55</v>
      </c>
      <c r="G92" t="s">
        <v>67</v>
      </c>
      <c r="H92">
        <v>1300000</v>
      </c>
    </row>
    <row r="93" spans="1:8" ht="15" customHeight="1" x14ac:dyDescent="0.25">
      <c r="A93">
        <v>2030</v>
      </c>
      <c r="B93" s="5" t="s">
        <v>45</v>
      </c>
      <c r="C93" t="s">
        <v>135</v>
      </c>
      <c r="D93" t="s">
        <v>79</v>
      </c>
      <c r="E93" t="s">
        <v>52</v>
      </c>
      <c r="F93" t="s">
        <v>55</v>
      </c>
      <c r="G93" t="s">
        <v>67</v>
      </c>
      <c r="H93">
        <v>500000</v>
      </c>
    </row>
    <row r="94" spans="1:8" ht="15" customHeight="1" x14ac:dyDescent="0.25">
      <c r="A94">
        <v>2030</v>
      </c>
      <c r="B94" s="5" t="s">
        <v>45</v>
      </c>
      <c r="C94" t="s">
        <v>136</v>
      </c>
      <c r="D94" t="s">
        <v>79</v>
      </c>
      <c r="E94" t="s">
        <v>52</v>
      </c>
      <c r="F94" t="s">
        <v>58</v>
      </c>
      <c r="G94" t="s">
        <v>59</v>
      </c>
      <c r="H94">
        <v>200000</v>
      </c>
    </row>
    <row r="95" spans="1:8" ht="15" customHeight="1" x14ac:dyDescent="0.25">
      <c r="A95">
        <v>2030</v>
      </c>
      <c r="B95" s="5" t="s">
        <v>45</v>
      </c>
      <c r="C95" t="s">
        <v>137</v>
      </c>
      <c r="D95" t="s">
        <v>79</v>
      </c>
      <c r="E95" t="s">
        <v>62</v>
      </c>
      <c r="F95" t="s">
        <v>55</v>
      </c>
      <c r="G95" t="s">
        <v>67</v>
      </c>
      <c r="H95">
        <v>800000</v>
      </c>
    </row>
    <row r="96" spans="1:8" ht="15" customHeight="1" x14ac:dyDescent="0.25">
      <c r="A96">
        <v>2030</v>
      </c>
      <c r="B96" s="5" t="s">
        <v>45</v>
      </c>
      <c r="C96" t="s">
        <v>138</v>
      </c>
      <c r="D96" t="s">
        <v>79</v>
      </c>
      <c r="E96" t="s">
        <v>62</v>
      </c>
      <c r="F96" t="s">
        <v>58</v>
      </c>
      <c r="G96" t="s">
        <v>64</v>
      </c>
      <c r="H96">
        <v>8000000</v>
      </c>
    </row>
    <row r="97" spans="1:8" ht="15" customHeight="1" x14ac:dyDescent="0.25">
      <c r="A97">
        <v>2030</v>
      </c>
      <c r="B97" s="5" t="s">
        <v>45</v>
      </c>
      <c r="C97" t="s">
        <v>139</v>
      </c>
      <c r="D97" t="s">
        <v>79</v>
      </c>
      <c r="E97" t="s">
        <v>62</v>
      </c>
      <c r="F97" t="s">
        <v>58</v>
      </c>
      <c r="G97" t="s">
        <v>59</v>
      </c>
      <c r="H97">
        <v>350000</v>
      </c>
    </row>
    <row r="98" spans="1:8" ht="15" customHeight="1" x14ac:dyDescent="0.25">
      <c r="A98">
        <v>2030</v>
      </c>
      <c r="B98" s="5" t="s">
        <v>45</v>
      </c>
      <c r="C98" t="s">
        <v>140</v>
      </c>
      <c r="D98" t="s">
        <v>79</v>
      </c>
      <c r="E98" t="s">
        <v>62</v>
      </c>
      <c r="F98" t="s">
        <v>55</v>
      </c>
      <c r="G98" t="s">
        <v>141</v>
      </c>
      <c r="H98">
        <v>240000</v>
      </c>
    </row>
    <row r="99" spans="1:8" ht="15" customHeight="1" x14ac:dyDescent="0.25">
      <c r="A99">
        <v>2030</v>
      </c>
      <c r="B99" s="5" t="s">
        <v>45</v>
      </c>
      <c r="C99" t="s">
        <v>142</v>
      </c>
      <c r="D99" t="s">
        <v>79</v>
      </c>
      <c r="E99" t="s">
        <v>48</v>
      </c>
      <c r="F99" t="s">
        <v>49</v>
      </c>
      <c r="G99" t="s">
        <v>94</v>
      </c>
      <c r="H99">
        <v>1800000</v>
      </c>
    </row>
    <row r="100" spans="1:8" ht="15" customHeight="1" x14ac:dyDescent="0.25">
      <c r="A100">
        <v>2030</v>
      </c>
      <c r="B100" s="5" t="s">
        <v>45</v>
      </c>
      <c r="C100" t="s">
        <v>143</v>
      </c>
      <c r="D100" t="s">
        <v>79</v>
      </c>
      <c r="E100" t="s">
        <v>62</v>
      </c>
      <c r="F100" t="s">
        <v>49</v>
      </c>
      <c r="G100" t="s">
        <v>53</v>
      </c>
      <c r="H100">
        <v>600000</v>
      </c>
    </row>
    <row r="101" spans="1:8" ht="15" customHeight="1" x14ac:dyDescent="0.25">
      <c r="A101">
        <v>2030</v>
      </c>
      <c r="B101" s="5" t="s">
        <v>45</v>
      </c>
      <c r="C101" t="s">
        <v>144</v>
      </c>
      <c r="D101" t="s">
        <v>79</v>
      </c>
      <c r="E101" t="s">
        <v>62</v>
      </c>
      <c r="F101" t="s">
        <v>55</v>
      </c>
      <c r="G101" t="s">
        <v>67</v>
      </c>
      <c r="H101">
        <v>800000</v>
      </c>
    </row>
    <row r="102" spans="1:8" ht="15" customHeight="1" x14ac:dyDescent="0.25">
      <c r="A102">
        <v>2030</v>
      </c>
      <c r="B102" s="5" t="s">
        <v>45</v>
      </c>
      <c r="C102" t="s">
        <v>145</v>
      </c>
      <c r="D102" t="s">
        <v>79</v>
      </c>
      <c r="E102" t="s">
        <v>62</v>
      </c>
      <c r="F102" t="s">
        <v>58</v>
      </c>
      <c r="G102" t="s">
        <v>59</v>
      </c>
      <c r="H102">
        <v>360000</v>
      </c>
    </row>
    <row r="103" spans="1:8" ht="15" customHeight="1" x14ac:dyDescent="0.25">
      <c r="A103">
        <v>2030</v>
      </c>
      <c r="B103" s="5" t="s">
        <v>45</v>
      </c>
      <c r="C103" t="s">
        <v>146</v>
      </c>
      <c r="D103" t="s">
        <v>79</v>
      </c>
      <c r="E103" t="s">
        <v>62</v>
      </c>
      <c r="F103" t="s">
        <v>58</v>
      </c>
      <c r="G103" t="s">
        <v>64</v>
      </c>
      <c r="H103">
        <v>900000</v>
      </c>
    </row>
    <row r="104" spans="1:8" ht="15" customHeight="1" x14ac:dyDescent="0.25">
      <c r="A104">
        <v>2030</v>
      </c>
      <c r="B104" s="5" t="s">
        <v>45</v>
      </c>
      <c r="C104" t="s">
        <v>147</v>
      </c>
      <c r="D104" t="s">
        <v>79</v>
      </c>
      <c r="E104" t="s">
        <v>62</v>
      </c>
      <c r="F104" t="s">
        <v>55</v>
      </c>
      <c r="G104" t="s">
        <v>91</v>
      </c>
      <c r="H104">
        <v>1600000</v>
      </c>
    </row>
    <row r="105" spans="1:8" ht="15" customHeight="1" x14ac:dyDescent="0.25">
      <c r="A105">
        <v>2030</v>
      </c>
      <c r="B105" s="5" t="s">
        <v>45</v>
      </c>
      <c r="C105" t="s">
        <v>148</v>
      </c>
      <c r="D105" t="s">
        <v>79</v>
      </c>
      <c r="E105" t="s">
        <v>62</v>
      </c>
      <c r="F105" t="s">
        <v>49</v>
      </c>
      <c r="G105" t="s">
        <v>53</v>
      </c>
      <c r="H105">
        <v>300000</v>
      </c>
    </row>
    <row r="106" spans="1:8" ht="15" customHeight="1" x14ac:dyDescent="0.25">
      <c r="A106">
        <v>2030</v>
      </c>
      <c r="B106" s="5" t="s">
        <v>45</v>
      </c>
      <c r="C106" t="s">
        <v>149</v>
      </c>
      <c r="D106" t="s">
        <v>79</v>
      </c>
      <c r="E106" t="s">
        <v>48</v>
      </c>
      <c r="F106" t="s">
        <v>55</v>
      </c>
      <c r="G106" t="s">
        <v>67</v>
      </c>
      <c r="H106">
        <v>1100000</v>
      </c>
    </row>
    <row r="107" spans="1:8" ht="15" customHeight="1" x14ac:dyDescent="0.25">
      <c r="A107">
        <v>2030</v>
      </c>
      <c r="B107" s="5" t="s">
        <v>45</v>
      </c>
      <c r="C107" t="s">
        <v>150</v>
      </c>
      <c r="D107" t="s">
        <v>79</v>
      </c>
      <c r="E107" t="s">
        <v>52</v>
      </c>
      <c r="F107" t="s">
        <v>58</v>
      </c>
      <c r="G107" t="s">
        <v>59</v>
      </c>
      <c r="H107">
        <v>330000</v>
      </c>
    </row>
    <row r="108" spans="1:8" ht="15" customHeight="1" x14ac:dyDescent="0.25">
      <c r="A108">
        <v>2030</v>
      </c>
      <c r="B108" s="5" t="s">
        <v>45</v>
      </c>
      <c r="C108" t="s">
        <v>151</v>
      </c>
      <c r="D108" t="s">
        <v>79</v>
      </c>
      <c r="E108" t="s">
        <v>52</v>
      </c>
      <c r="F108" t="s">
        <v>49</v>
      </c>
      <c r="G108" t="s">
        <v>75</v>
      </c>
      <c r="H108">
        <v>150000</v>
      </c>
    </row>
    <row r="109" spans="1:8" ht="15" customHeight="1" x14ac:dyDescent="0.25">
      <c r="A109">
        <v>2030</v>
      </c>
      <c r="B109" s="5" t="s">
        <v>45</v>
      </c>
      <c r="C109" t="s">
        <v>152</v>
      </c>
      <c r="D109" t="s">
        <v>79</v>
      </c>
      <c r="E109" t="s">
        <v>153</v>
      </c>
      <c r="F109" t="s">
        <v>58</v>
      </c>
      <c r="G109" t="s">
        <v>59</v>
      </c>
      <c r="H109">
        <v>400000</v>
      </c>
    </row>
    <row r="110" spans="1:8" ht="15" customHeight="1" x14ac:dyDescent="0.25">
      <c r="A110">
        <v>2030</v>
      </c>
      <c r="B110" s="5" t="s">
        <v>45</v>
      </c>
      <c r="C110" t="s">
        <v>154</v>
      </c>
      <c r="D110" t="s">
        <v>79</v>
      </c>
      <c r="E110" t="s">
        <v>48</v>
      </c>
      <c r="F110" t="s">
        <v>55</v>
      </c>
      <c r="G110" t="s">
        <v>67</v>
      </c>
      <c r="H110">
        <v>1200000</v>
      </c>
    </row>
    <row r="111" spans="1:8" ht="15" customHeight="1" x14ac:dyDescent="0.25">
      <c r="A111">
        <v>2030</v>
      </c>
      <c r="B111" s="5" t="s">
        <v>45</v>
      </c>
      <c r="C111" t="s">
        <v>155</v>
      </c>
      <c r="D111" t="s">
        <v>79</v>
      </c>
      <c r="E111" t="s">
        <v>62</v>
      </c>
      <c r="F111" t="s">
        <v>58</v>
      </c>
      <c r="G111" t="s">
        <v>59</v>
      </c>
      <c r="H111">
        <v>560000</v>
      </c>
    </row>
    <row r="112" spans="1:8" ht="15" customHeight="1" x14ac:dyDescent="0.25">
      <c r="A112">
        <v>2030</v>
      </c>
      <c r="B112" s="5" t="s">
        <v>45</v>
      </c>
      <c r="C112" t="s">
        <v>156</v>
      </c>
      <c r="D112" t="s">
        <v>79</v>
      </c>
      <c r="E112" t="s">
        <v>62</v>
      </c>
      <c r="F112" t="s">
        <v>58</v>
      </c>
      <c r="G112" t="s">
        <v>59</v>
      </c>
      <c r="H112">
        <v>150000</v>
      </c>
    </row>
    <row r="113" spans="1:8" ht="15" customHeight="1" x14ac:dyDescent="0.25">
      <c r="A113">
        <v>2030</v>
      </c>
      <c r="B113" s="5" t="s">
        <v>45</v>
      </c>
      <c r="C113" t="s">
        <v>157</v>
      </c>
      <c r="D113" t="s">
        <v>79</v>
      </c>
      <c r="E113" t="s">
        <v>62</v>
      </c>
      <c r="F113" t="s">
        <v>58</v>
      </c>
      <c r="G113" t="s">
        <v>59</v>
      </c>
      <c r="H113">
        <v>400000</v>
      </c>
    </row>
    <row r="114" spans="1:8" ht="15" customHeight="1" x14ac:dyDescent="0.25">
      <c r="A114">
        <v>2030</v>
      </c>
      <c r="B114" t="s">
        <v>175</v>
      </c>
      <c r="C114" t="s">
        <v>183</v>
      </c>
      <c r="D114" t="s">
        <v>79</v>
      </c>
      <c r="E114" t="s">
        <v>62</v>
      </c>
      <c r="F114" t="s">
        <v>58</v>
      </c>
      <c r="G114" t="s">
        <v>59</v>
      </c>
      <c r="H114">
        <v>100000</v>
      </c>
    </row>
    <row r="115" spans="1:8" ht="15" customHeight="1" x14ac:dyDescent="0.25">
      <c r="A115">
        <v>2030</v>
      </c>
      <c r="B115" t="s">
        <v>175</v>
      </c>
      <c r="C115" t="s">
        <v>184</v>
      </c>
      <c r="D115" t="s">
        <v>79</v>
      </c>
      <c r="E115" t="s">
        <v>62</v>
      </c>
      <c r="F115" t="s">
        <v>58</v>
      </c>
      <c r="G115" t="s">
        <v>59</v>
      </c>
      <c r="H115">
        <v>220000</v>
      </c>
    </row>
    <row r="116" spans="1:8" ht="15" customHeight="1" x14ac:dyDescent="0.25">
      <c r="A116">
        <v>2030</v>
      </c>
      <c r="B116" t="s">
        <v>175</v>
      </c>
      <c r="C116" t="s">
        <v>185</v>
      </c>
      <c r="D116" t="s">
        <v>79</v>
      </c>
      <c r="E116" t="s">
        <v>62</v>
      </c>
      <c r="F116" t="s">
        <v>58</v>
      </c>
      <c r="G116" t="s">
        <v>59</v>
      </c>
      <c r="H116">
        <v>130000</v>
      </c>
    </row>
    <row r="117" spans="1:8" ht="15" customHeight="1" x14ac:dyDescent="0.25">
      <c r="A117">
        <v>2030</v>
      </c>
      <c r="B117" t="s">
        <v>190</v>
      </c>
      <c r="C117" t="s">
        <v>209</v>
      </c>
      <c r="D117" t="s">
        <v>79</v>
      </c>
      <c r="E117" t="s">
        <v>48</v>
      </c>
      <c r="F117" t="s">
        <v>58</v>
      </c>
      <c r="G117" t="s">
        <v>59</v>
      </c>
      <c r="H117">
        <v>1300000</v>
      </c>
    </row>
    <row r="118" spans="1:8" ht="15" customHeight="1" x14ac:dyDescent="0.25">
      <c r="A118">
        <v>2030</v>
      </c>
      <c r="B118" t="s">
        <v>190</v>
      </c>
      <c r="C118" t="s">
        <v>210</v>
      </c>
      <c r="D118" t="s">
        <v>79</v>
      </c>
      <c r="E118" t="s">
        <v>62</v>
      </c>
      <c r="F118" t="s">
        <v>58</v>
      </c>
      <c r="G118" t="s">
        <v>64</v>
      </c>
      <c r="H118">
        <v>3700000</v>
      </c>
    </row>
    <row r="119" spans="1:8" ht="15" customHeight="1" x14ac:dyDescent="0.25">
      <c r="A119">
        <v>2030</v>
      </c>
      <c r="B119" t="s">
        <v>190</v>
      </c>
      <c r="C119" t="s">
        <v>211</v>
      </c>
      <c r="D119" t="s">
        <v>79</v>
      </c>
      <c r="E119" t="s">
        <v>62</v>
      </c>
      <c r="F119" t="s">
        <v>49</v>
      </c>
      <c r="G119" t="s">
        <v>94</v>
      </c>
      <c r="H119">
        <v>1495000</v>
      </c>
    </row>
    <row r="120" spans="1:8" ht="15" customHeight="1" x14ac:dyDescent="0.25">
      <c r="A120">
        <v>2030</v>
      </c>
      <c r="B120" t="s">
        <v>190</v>
      </c>
      <c r="C120" t="s">
        <v>212</v>
      </c>
      <c r="D120" t="s">
        <v>79</v>
      </c>
      <c r="E120" t="s">
        <v>62</v>
      </c>
      <c r="F120" t="s">
        <v>55</v>
      </c>
      <c r="G120" t="s">
        <v>80</v>
      </c>
      <c r="H120">
        <v>1000000</v>
      </c>
    </row>
    <row r="121" spans="1:8" ht="15" customHeight="1" x14ac:dyDescent="0.25">
      <c r="A121">
        <v>2030</v>
      </c>
      <c r="B121" t="s">
        <v>190</v>
      </c>
      <c r="C121" t="s">
        <v>213</v>
      </c>
      <c r="D121" t="s">
        <v>79</v>
      </c>
      <c r="E121" t="s">
        <v>62</v>
      </c>
      <c r="F121" t="s">
        <v>49</v>
      </c>
      <c r="G121" t="s">
        <v>94</v>
      </c>
      <c r="H121">
        <v>1600000</v>
      </c>
    </row>
    <row r="122" spans="1:8" ht="15" customHeight="1" x14ac:dyDescent="0.25">
      <c r="A122">
        <v>2030</v>
      </c>
      <c r="B122" t="s">
        <v>190</v>
      </c>
      <c r="C122" t="s">
        <v>214</v>
      </c>
      <c r="D122" t="s">
        <v>79</v>
      </c>
      <c r="E122" t="s">
        <v>62</v>
      </c>
      <c r="F122" t="s">
        <v>49</v>
      </c>
      <c r="G122" t="s">
        <v>94</v>
      </c>
      <c r="H122">
        <v>8100000</v>
      </c>
    </row>
    <row r="123" spans="1:8" ht="15" customHeight="1" x14ac:dyDescent="0.25">
      <c r="A123">
        <v>2030</v>
      </c>
      <c r="B123" t="s">
        <v>190</v>
      </c>
      <c r="C123" t="s">
        <v>215</v>
      </c>
      <c r="D123" t="s">
        <v>79</v>
      </c>
      <c r="E123" t="s">
        <v>62</v>
      </c>
      <c r="F123" t="s">
        <v>58</v>
      </c>
      <c r="G123" t="s">
        <v>59</v>
      </c>
      <c r="H123">
        <v>1200000</v>
      </c>
    </row>
    <row r="124" spans="1:8" ht="15" customHeight="1" x14ac:dyDescent="0.25">
      <c r="A124">
        <v>2030</v>
      </c>
      <c r="B124" t="s">
        <v>190</v>
      </c>
      <c r="C124" t="s">
        <v>216</v>
      </c>
      <c r="D124" t="s">
        <v>79</v>
      </c>
      <c r="E124" t="s">
        <v>62</v>
      </c>
      <c r="F124" t="s">
        <v>58</v>
      </c>
      <c r="G124" t="s">
        <v>88</v>
      </c>
      <c r="H124">
        <v>1500000</v>
      </c>
    </row>
    <row r="125" spans="1:8" ht="15" customHeight="1" x14ac:dyDescent="0.25">
      <c r="A125">
        <v>2030</v>
      </c>
      <c r="B125" t="s">
        <v>190</v>
      </c>
      <c r="C125" t="s">
        <v>217</v>
      </c>
      <c r="D125" t="s">
        <v>79</v>
      </c>
      <c r="E125" t="s">
        <v>62</v>
      </c>
      <c r="F125" t="s">
        <v>58</v>
      </c>
      <c r="G125" t="s">
        <v>64</v>
      </c>
      <c r="H125">
        <v>2300000</v>
      </c>
    </row>
    <row r="126" spans="1:8" ht="15" customHeight="1" x14ac:dyDescent="0.25">
      <c r="A126">
        <v>2031</v>
      </c>
      <c r="B126" s="5" t="s">
        <v>45</v>
      </c>
      <c r="C126" t="s">
        <v>158</v>
      </c>
      <c r="D126" t="s">
        <v>79</v>
      </c>
      <c r="E126" t="s">
        <v>62</v>
      </c>
      <c r="F126" t="s">
        <v>49</v>
      </c>
      <c r="G126" t="s">
        <v>94</v>
      </c>
      <c r="H126">
        <v>1700000</v>
      </c>
    </row>
    <row r="127" spans="1:8" ht="15" customHeight="1" x14ac:dyDescent="0.25">
      <c r="A127">
        <v>2031</v>
      </c>
      <c r="B127" s="5" t="s">
        <v>45</v>
      </c>
      <c r="C127" t="s">
        <v>159</v>
      </c>
      <c r="D127" t="s">
        <v>79</v>
      </c>
      <c r="E127" t="s">
        <v>62</v>
      </c>
      <c r="F127" t="s">
        <v>55</v>
      </c>
      <c r="G127" t="s">
        <v>67</v>
      </c>
      <c r="H127">
        <v>1200000</v>
      </c>
    </row>
    <row r="128" spans="1:8" ht="15" customHeight="1" x14ac:dyDescent="0.25">
      <c r="A128">
        <v>2031</v>
      </c>
      <c r="B128" s="5" t="s">
        <v>45</v>
      </c>
      <c r="C128" t="s">
        <v>160</v>
      </c>
      <c r="D128" t="s">
        <v>79</v>
      </c>
      <c r="E128" t="s">
        <v>62</v>
      </c>
      <c r="F128" t="s">
        <v>55</v>
      </c>
      <c r="G128" t="s">
        <v>67</v>
      </c>
      <c r="H128">
        <v>700000</v>
      </c>
    </row>
    <row r="129" spans="1:8" ht="15" customHeight="1" x14ac:dyDescent="0.25">
      <c r="A129">
        <v>2031</v>
      </c>
      <c r="B129" s="5" t="s">
        <v>45</v>
      </c>
      <c r="C129" t="s">
        <v>161</v>
      </c>
      <c r="D129" t="s">
        <v>79</v>
      </c>
      <c r="E129" t="s">
        <v>62</v>
      </c>
      <c r="F129" t="s">
        <v>49</v>
      </c>
      <c r="G129" t="s">
        <v>53</v>
      </c>
      <c r="H129">
        <v>740000</v>
      </c>
    </row>
    <row r="130" spans="1:8" ht="15" customHeight="1" x14ac:dyDescent="0.25">
      <c r="A130">
        <v>2031</v>
      </c>
      <c r="B130" s="5" t="s">
        <v>45</v>
      </c>
      <c r="C130" t="s">
        <v>162</v>
      </c>
      <c r="D130" t="s">
        <v>79</v>
      </c>
      <c r="E130" t="s">
        <v>62</v>
      </c>
      <c r="F130" t="s">
        <v>55</v>
      </c>
      <c r="G130" t="s">
        <v>67</v>
      </c>
      <c r="H130">
        <v>1000000</v>
      </c>
    </row>
    <row r="131" spans="1:8" ht="15" customHeight="1" x14ac:dyDescent="0.25">
      <c r="A131">
        <v>2031</v>
      </c>
      <c r="B131" s="5" t="s">
        <v>45</v>
      </c>
      <c r="C131" t="s">
        <v>163</v>
      </c>
      <c r="D131" t="s">
        <v>79</v>
      </c>
      <c r="E131" t="s">
        <v>48</v>
      </c>
      <c r="F131" t="s">
        <v>55</v>
      </c>
      <c r="G131" t="s">
        <v>67</v>
      </c>
      <c r="H131">
        <v>1000000</v>
      </c>
    </row>
    <row r="132" spans="1:8" ht="15" customHeight="1" x14ac:dyDescent="0.25">
      <c r="A132">
        <v>2031</v>
      </c>
      <c r="B132" s="5" t="s">
        <v>45</v>
      </c>
      <c r="C132" t="s">
        <v>164</v>
      </c>
      <c r="D132" t="s">
        <v>79</v>
      </c>
      <c r="E132" t="s">
        <v>52</v>
      </c>
      <c r="F132" t="s">
        <v>55</v>
      </c>
      <c r="G132" t="s">
        <v>67</v>
      </c>
      <c r="H132">
        <v>700000</v>
      </c>
    </row>
    <row r="133" spans="1:8" ht="15" customHeight="1" x14ac:dyDescent="0.25">
      <c r="A133">
        <v>2031</v>
      </c>
      <c r="B133" t="s">
        <v>175</v>
      </c>
      <c r="C133" t="s">
        <v>186</v>
      </c>
      <c r="D133" t="s">
        <v>79</v>
      </c>
      <c r="E133" t="s">
        <v>62</v>
      </c>
      <c r="F133" t="s">
        <v>49</v>
      </c>
      <c r="G133" t="s">
        <v>94</v>
      </c>
      <c r="H133">
        <v>2000000</v>
      </c>
    </row>
    <row r="134" spans="1:8" ht="15" customHeight="1" x14ac:dyDescent="0.25">
      <c r="A134">
        <v>2032</v>
      </c>
      <c r="B134" s="5" t="s">
        <v>45</v>
      </c>
      <c r="C134" t="s">
        <v>165</v>
      </c>
      <c r="D134" t="s">
        <v>79</v>
      </c>
      <c r="E134" t="s">
        <v>62</v>
      </c>
      <c r="F134" t="s">
        <v>55</v>
      </c>
      <c r="G134" t="s">
        <v>67</v>
      </c>
      <c r="H134">
        <v>1800000</v>
      </c>
    </row>
    <row r="135" spans="1:8" ht="15" customHeight="1" x14ac:dyDescent="0.25">
      <c r="A135">
        <v>2032</v>
      </c>
      <c r="B135" s="5" t="s">
        <v>45</v>
      </c>
      <c r="C135" t="s">
        <v>166</v>
      </c>
      <c r="D135" t="s">
        <v>79</v>
      </c>
      <c r="E135" t="s">
        <v>62</v>
      </c>
      <c r="F135" t="s">
        <v>49</v>
      </c>
      <c r="G135" t="s">
        <v>94</v>
      </c>
      <c r="H135">
        <v>2000000</v>
      </c>
    </row>
    <row r="136" spans="1:8" ht="15" customHeight="1" x14ac:dyDescent="0.25">
      <c r="A136">
        <v>2032</v>
      </c>
      <c r="B136" s="5" t="s">
        <v>45</v>
      </c>
      <c r="C136" t="s">
        <v>167</v>
      </c>
      <c r="D136" t="s">
        <v>79</v>
      </c>
      <c r="E136" t="s">
        <v>62</v>
      </c>
      <c r="F136" t="s">
        <v>58</v>
      </c>
      <c r="G136" t="s">
        <v>64</v>
      </c>
      <c r="H136">
        <v>3000000</v>
      </c>
    </row>
    <row r="137" spans="1:8" ht="15" customHeight="1" x14ac:dyDescent="0.25">
      <c r="A137">
        <v>2032</v>
      </c>
      <c r="B137" s="5" t="s">
        <v>45</v>
      </c>
      <c r="C137" t="s">
        <v>168</v>
      </c>
      <c r="D137" t="s">
        <v>79</v>
      </c>
      <c r="E137" t="s">
        <v>62</v>
      </c>
      <c r="F137" t="s">
        <v>55</v>
      </c>
      <c r="G137" t="s">
        <v>67</v>
      </c>
      <c r="H137">
        <v>1000000</v>
      </c>
    </row>
    <row r="138" spans="1:8" ht="15" customHeight="1" x14ac:dyDescent="0.25">
      <c r="A138">
        <v>2032</v>
      </c>
      <c r="B138" s="5" t="s">
        <v>45</v>
      </c>
      <c r="C138" t="s">
        <v>169</v>
      </c>
      <c r="D138" t="s">
        <v>79</v>
      </c>
      <c r="E138" t="s">
        <v>62</v>
      </c>
      <c r="F138" t="s">
        <v>55</v>
      </c>
      <c r="G138" t="s">
        <v>67</v>
      </c>
      <c r="H138">
        <v>315000</v>
      </c>
    </row>
    <row r="139" spans="1:8" ht="15" customHeight="1" x14ac:dyDescent="0.25">
      <c r="A139">
        <v>2032</v>
      </c>
      <c r="B139" s="5" t="s">
        <v>45</v>
      </c>
      <c r="C139" t="s">
        <v>170</v>
      </c>
      <c r="D139" t="s">
        <v>79</v>
      </c>
      <c r="E139" t="s">
        <v>48</v>
      </c>
      <c r="F139" t="s">
        <v>55</v>
      </c>
      <c r="G139" t="s">
        <v>67</v>
      </c>
      <c r="H139">
        <v>1000000</v>
      </c>
    </row>
    <row r="140" spans="1:8" ht="15" customHeight="1" x14ac:dyDescent="0.25">
      <c r="A140">
        <v>2032</v>
      </c>
      <c r="B140" s="5" t="s">
        <v>45</v>
      </c>
      <c r="C140" t="s">
        <v>171</v>
      </c>
      <c r="D140" t="s">
        <v>79</v>
      </c>
      <c r="E140" t="s">
        <v>153</v>
      </c>
      <c r="F140" t="s">
        <v>55</v>
      </c>
      <c r="G140" t="s">
        <v>67</v>
      </c>
      <c r="H140">
        <v>600000</v>
      </c>
    </row>
    <row r="141" spans="1:8" ht="15" customHeight="1" x14ac:dyDescent="0.25">
      <c r="A141">
        <v>2032</v>
      </c>
      <c r="B141" s="5" t="s">
        <v>45</v>
      </c>
      <c r="C141" t="s">
        <v>172</v>
      </c>
      <c r="D141" t="s">
        <v>79</v>
      </c>
      <c r="E141" t="s">
        <v>62</v>
      </c>
      <c r="F141" t="s">
        <v>55</v>
      </c>
      <c r="G141" t="s">
        <v>67</v>
      </c>
      <c r="H141">
        <v>700000</v>
      </c>
    </row>
    <row r="142" spans="1:8" ht="15" customHeight="1" x14ac:dyDescent="0.25">
      <c r="A142">
        <v>2032</v>
      </c>
      <c r="B142" s="5" t="s">
        <v>45</v>
      </c>
      <c r="C142" t="s">
        <v>173</v>
      </c>
      <c r="D142" t="s">
        <v>79</v>
      </c>
      <c r="E142" t="s">
        <v>48</v>
      </c>
      <c r="F142" t="s">
        <v>58</v>
      </c>
      <c r="G142" t="s">
        <v>59</v>
      </c>
      <c r="H142">
        <v>500000</v>
      </c>
    </row>
    <row r="143" spans="1:8" ht="15" customHeight="1" x14ac:dyDescent="0.25">
      <c r="A143">
        <v>2032</v>
      </c>
      <c r="B143" t="s">
        <v>190</v>
      </c>
      <c r="C143" t="s">
        <v>218</v>
      </c>
      <c r="D143" t="s">
        <v>79</v>
      </c>
      <c r="E143" t="s">
        <v>62</v>
      </c>
      <c r="F143" t="s">
        <v>49</v>
      </c>
      <c r="G143" t="s">
        <v>94</v>
      </c>
      <c r="H143">
        <v>890000</v>
      </c>
    </row>
    <row r="144" spans="1:8" ht="15" customHeight="1" x14ac:dyDescent="0.25">
      <c r="A144">
        <v>2032</v>
      </c>
      <c r="B144" t="s">
        <v>190</v>
      </c>
      <c r="C144" t="s">
        <v>219</v>
      </c>
      <c r="D144" t="s">
        <v>79</v>
      </c>
      <c r="E144" t="s">
        <v>62</v>
      </c>
      <c r="F144" t="s">
        <v>55</v>
      </c>
      <c r="G144" t="s">
        <v>67</v>
      </c>
      <c r="H144">
        <v>540000</v>
      </c>
    </row>
    <row r="145" spans="1:8" ht="15" customHeight="1" x14ac:dyDescent="0.25">
      <c r="A145">
        <v>2033</v>
      </c>
      <c r="B145" s="5" t="s">
        <v>45</v>
      </c>
      <c r="C145" t="s">
        <v>174</v>
      </c>
      <c r="D145" t="s">
        <v>79</v>
      </c>
      <c r="E145" t="s">
        <v>62</v>
      </c>
      <c r="F145" t="s">
        <v>55</v>
      </c>
      <c r="G145" t="s">
        <v>67</v>
      </c>
      <c r="H145">
        <v>600000</v>
      </c>
    </row>
    <row r="146" spans="1:8" ht="15" customHeight="1" x14ac:dyDescent="0.25">
      <c r="A146">
        <v>2033</v>
      </c>
      <c r="B146" t="s">
        <v>190</v>
      </c>
      <c r="C146" t="s">
        <v>220</v>
      </c>
      <c r="D146" t="s">
        <v>79</v>
      </c>
      <c r="E146" t="s">
        <v>62</v>
      </c>
      <c r="F146" t="s">
        <v>58</v>
      </c>
      <c r="G146" t="s">
        <v>88</v>
      </c>
      <c r="H146">
        <v>1500000</v>
      </c>
    </row>
    <row r="147" spans="1:8" ht="15" customHeight="1" x14ac:dyDescent="0.25">
      <c r="A147">
        <v>2033</v>
      </c>
      <c r="B147" t="s">
        <v>190</v>
      </c>
      <c r="C147" t="s">
        <v>221</v>
      </c>
      <c r="D147" t="s">
        <v>79</v>
      </c>
      <c r="E147" t="s">
        <v>62</v>
      </c>
      <c r="F147" t="s">
        <v>58</v>
      </c>
      <c r="G147" t="s">
        <v>88</v>
      </c>
      <c r="H147">
        <v>1500000</v>
      </c>
    </row>
    <row r="148" spans="1:8" ht="15" customHeight="1" x14ac:dyDescent="0.25">
      <c r="A148">
        <v>2033</v>
      </c>
      <c r="B148" t="s">
        <v>190</v>
      </c>
      <c r="C148" t="s">
        <v>222</v>
      </c>
      <c r="D148" t="s">
        <v>79</v>
      </c>
      <c r="E148" t="s">
        <v>62</v>
      </c>
      <c r="F148" t="s">
        <v>58</v>
      </c>
      <c r="G148" t="s">
        <v>88</v>
      </c>
      <c r="H148">
        <v>3700000</v>
      </c>
    </row>
    <row r="149" spans="1:8" ht="15" customHeight="1" x14ac:dyDescent="0.25">
      <c r="A149">
        <v>2034</v>
      </c>
      <c r="B149" t="s">
        <v>190</v>
      </c>
      <c r="C149" t="s">
        <v>223</v>
      </c>
      <c r="D149" t="s">
        <v>79</v>
      </c>
      <c r="E149" t="s">
        <v>48</v>
      </c>
      <c r="F149" t="s">
        <v>58</v>
      </c>
      <c r="G149" t="s">
        <v>88</v>
      </c>
      <c r="H149">
        <v>5000000</v>
      </c>
    </row>
    <row r="150" spans="1:8" ht="15" customHeight="1" x14ac:dyDescent="0.25">
      <c r="A150">
        <v>2034</v>
      </c>
      <c r="B150" t="s">
        <v>190</v>
      </c>
      <c r="C150" t="s">
        <v>224</v>
      </c>
      <c r="D150" t="s">
        <v>79</v>
      </c>
      <c r="E150" t="s">
        <v>62</v>
      </c>
      <c r="F150" t="s">
        <v>58</v>
      </c>
      <c r="G150" t="s">
        <v>88</v>
      </c>
      <c r="H150">
        <v>600000</v>
      </c>
    </row>
    <row r="151" spans="1:8" ht="15" customHeight="1" x14ac:dyDescent="0.25">
      <c r="A151">
        <v>2035</v>
      </c>
      <c r="B151" t="s">
        <v>175</v>
      </c>
      <c r="C151" t="s">
        <v>187</v>
      </c>
      <c r="D151" t="s">
        <v>79</v>
      </c>
      <c r="E151" t="s">
        <v>62</v>
      </c>
      <c r="F151" t="s">
        <v>58</v>
      </c>
      <c r="G151" t="s">
        <v>59</v>
      </c>
      <c r="H151">
        <v>150000</v>
      </c>
    </row>
    <row r="152" spans="1:8" ht="15" customHeight="1" x14ac:dyDescent="0.25">
      <c r="A152">
        <v>2035</v>
      </c>
      <c r="B152" t="s">
        <v>175</v>
      </c>
      <c r="C152" t="s">
        <v>188</v>
      </c>
      <c r="D152" t="s">
        <v>79</v>
      </c>
      <c r="E152" t="s">
        <v>62</v>
      </c>
      <c r="F152" t="s">
        <v>58</v>
      </c>
      <c r="G152" t="s">
        <v>59</v>
      </c>
      <c r="H152">
        <v>120000</v>
      </c>
    </row>
    <row r="153" spans="1:8" ht="15" customHeight="1" x14ac:dyDescent="0.25">
      <c r="A153">
        <v>2035</v>
      </c>
      <c r="B153" t="s">
        <v>175</v>
      </c>
      <c r="C153" t="s">
        <v>189</v>
      </c>
      <c r="D153" t="s">
        <v>79</v>
      </c>
      <c r="E153" t="s">
        <v>62</v>
      </c>
      <c r="F153" t="s">
        <v>55</v>
      </c>
      <c r="G153" t="s">
        <v>121</v>
      </c>
      <c r="H153">
        <v>150000</v>
      </c>
    </row>
    <row r="154" spans="1:8" ht="15" customHeight="1" x14ac:dyDescent="0.25">
      <c r="A154">
        <v>2035</v>
      </c>
      <c r="B154" t="s">
        <v>190</v>
      </c>
      <c r="C154" t="s">
        <v>225</v>
      </c>
      <c r="D154" t="s">
        <v>79</v>
      </c>
      <c r="E154" t="s">
        <v>62</v>
      </c>
      <c r="F154" t="s">
        <v>49</v>
      </c>
      <c r="G154" t="s">
        <v>94</v>
      </c>
      <c r="H154">
        <v>1500000</v>
      </c>
    </row>
    <row r="155" spans="1:8" ht="15" customHeight="1" x14ac:dyDescent="0.25">
      <c r="A155">
        <v>2035</v>
      </c>
      <c r="B155" t="s">
        <v>190</v>
      </c>
      <c r="C155" t="s">
        <v>226</v>
      </c>
      <c r="D155" t="s">
        <v>79</v>
      </c>
      <c r="E155" t="s">
        <v>62</v>
      </c>
      <c r="F155" t="s">
        <v>58</v>
      </c>
      <c r="G155" t="s">
        <v>88</v>
      </c>
      <c r="H155">
        <v>1870000</v>
      </c>
    </row>
    <row r="156" spans="1:8" ht="15" customHeight="1" x14ac:dyDescent="0.25">
      <c r="A156" s="7" t="s">
        <v>227</v>
      </c>
      <c r="B156" t="s">
        <v>228</v>
      </c>
    </row>
    <row r="157" spans="1:8" ht="15" customHeight="1" x14ac:dyDescent="0.25"/>
  </sheetData>
  <autoFilter ref="A1:A168" xr:uid="{1D7AAB2C-B5D9-479C-8C1F-54CCC209A833}">
    <sortState xmlns:xlrd2="http://schemas.microsoft.com/office/spreadsheetml/2017/richdata2" ref="A2:H168">
      <sortCondition ref="A1:A168"/>
    </sortState>
  </autoFilter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5C26-0B8A-4909-B24A-47228BDD0BB9}">
  <dimension ref="A1:S26"/>
  <sheetViews>
    <sheetView tabSelected="1" workbookViewId="0">
      <selection activeCell="H41" sqref="H41"/>
    </sheetView>
  </sheetViews>
  <sheetFormatPr baseColWidth="10" defaultRowHeight="15" x14ac:dyDescent="0.25"/>
  <sheetData>
    <row r="1" spans="1:19" x14ac:dyDescent="0.25">
      <c r="A1" t="s">
        <v>39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</row>
    <row r="2" spans="1:19" x14ac:dyDescent="0.25">
      <c r="A2">
        <v>2026</v>
      </c>
      <c r="B2">
        <v>200000</v>
      </c>
      <c r="C2">
        <v>800000</v>
      </c>
      <c r="D2">
        <v>125000</v>
      </c>
      <c r="E2">
        <v>631000</v>
      </c>
      <c r="F2">
        <v>530000</v>
      </c>
      <c r="G2">
        <v>3228000</v>
      </c>
      <c r="H2">
        <v>400000</v>
      </c>
      <c r="I2">
        <v>0</v>
      </c>
      <c r="J2">
        <v>0</v>
      </c>
      <c r="K2">
        <v>0</v>
      </c>
      <c r="L2">
        <v>0</v>
      </c>
      <c r="M2">
        <v>1700000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2027</v>
      </c>
      <c r="B3">
        <v>0</v>
      </c>
      <c r="C3">
        <v>2610000</v>
      </c>
      <c r="D3">
        <v>0</v>
      </c>
      <c r="E3">
        <v>0</v>
      </c>
      <c r="F3">
        <v>1164000</v>
      </c>
      <c r="G3">
        <v>0</v>
      </c>
      <c r="H3">
        <v>0</v>
      </c>
      <c r="I3">
        <v>0</v>
      </c>
      <c r="J3">
        <v>0</v>
      </c>
      <c r="K3">
        <v>0</v>
      </c>
      <c r="L3">
        <v>100000</v>
      </c>
      <c r="M3">
        <v>0</v>
      </c>
      <c r="N3">
        <v>0</v>
      </c>
      <c r="O3">
        <v>0</v>
      </c>
      <c r="P3">
        <v>0</v>
      </c>
      <c r="Q3">
        <v>0</v>
      </c>
      <c r="R3">
        <v>5300000</v>
      </c>
      <c r="S3">
        <v>0</v>
      </c>
    </row>
    <row r="4" spans="1:19" x14ac:dyDescent="0.25">
      <c r="A4">
        <v>2028</v>
      </c>
      <c r="B4">
        <v>2176000</v>
      </c>
      <c r="C4">
        <v>0</v>
      </c>
      <c r="D4">
        <v>0</v>
      </c>
      <c r="E4">
        <v>4500000</v>
      </c>
      <c r="F4">
        <v>1993000</v>
      </c>
      <c r="G4">
        <v>1000000</v>
      </c>
      <c r="H4">
        <v>0</v>
      </c>
      <c r="I4">
        <v>0</v>
      </c>
      <c r="J4">
        <v>260000</v>
      </c>
      <c r="K4">
        <v>0</v>
      </c>
      <c r="L4">
        <v>100000</v>
      </c>
      <c r="M4">
        <v>0</v>
      </c>
      <c r="N4">
        <v>0</v>
      </c>
      <c r="O4">
        <v>0</v>
      </c>
      <c r="P4">
        <v>0</v>
      </c>
      <c r="Q4">
        <v>3718000</v>
      </c>
      <c r="R4">
        <v>10600000</v>
      </c>
      <c r="S4">
        <v>1360000</v>
      </c>
    </row>
    <row r="5" spans="1:19" x14ac:dyDescent="0.25">
      <c r="A5">
        <v>2029</v>
      </c>
      <c r="B5">
        <v>7459000</v>
      </c>
      <c r="C5">
        <v>0</v>
      </c>
      <c r="D5">
        <v>112000</v>
      </c>
      <c r="E5">
        <v>3188000</v>
      </c>
      <c r="F5">
        <v>1160000</v>
      </c>
      <c r="G5">
        <v>0</v>
      </c>
      <c r="H5">
        <v>0</v>
      </c>
      <c r="I5">
        <v>0</v>
      </c>
      <c r="J5">
        <v>0</v>
      </c>
      <c r="K5">
        <v>0</v>
      </c>
      <c r="L5">
        <v>350000</v>
      </c>
      <c r="M5">
        <v>0</v>
      </c>
      <c r="N5">
        <v>800000</v>
      </c>
      <c r="O5">
        <v>0</v>
      </c>
      <c r="P5">
        <v>0</v>
      </c>
      <c r="Q5">
        <v>0</v>
      </c>
      <c r="R5">
        <v>2270000</v>
      </c>
      <c r="S5">
        <v>0</v>
      </c>
    </row>
    <row r="6" spans="1:19" x14ac:dyDescent="0.25">
      <c r="A6">
        <v>2030</v>
      </c>
      <c r="B6">
        <v>7650000</v>
      </c>
      <c r="C6">
        <v>0</v>
      </c>
      <c r="D6">
        <v>0</v>
      </c>
      <c r="E6">
        <v>6290000</v>
      </c>
      <c r="F6">
        <v>12950000</v>
      </c>
      <c r="G6">
        <v>5400000</v>
      </c>
      <c r="H6">
        <v>0</v>
      </c>
      <c r="I6">
        <v>0</v>
      </c>
      <c r="J6">
        <v>0</v>
      </c>
      <c r="K6">
        <v>0</v>
      </c>
      <c r="L6">
        <v>450000</v>
      </c>
      <c r="M6">
        <v>0</v>
      </c>
      <c r="N6">
        <v>0</v>
      </c>
      <c r="O6">
        <v>1000000</v>
      </c>
      <c r="P6">
        <v>0</v>
      </c>
      <c r="Q6">
        <v>11195000</v>
      </c>
      <c r="R6">
        <v>10000000</v>
      </c>
      <c r="S6">
        <v>0</v>
      </c>
    </row>
    <row r="7" spans="1:19" x14ac:dyDescent="0.25">
      <c r="A7">
        <v>2031</v>
      </c>
      <c r="B7">
        <v>4600000</v>
      </c>
      <c r="C7">
        <v>0</v>
      </c>
      <c r="D7">
        <v>0</v>
      </c>
      <c r="E7">
        <v>1700000</v>
      </c>
      <c r="F7">
        <v>0</v>
      </c>
      <c r="G7">
        <v>740000</v>
      </c>
      <c r="H7">
        <v>0</v>
      </c>
      <c r="I7">
        <v>0</v>
      </c>
      <c r="J7">
        <v>0</v>
      </c>
      <c r="K7">
        <v>2000000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2032</v>
      </c>
      <c r="B8">
        <v>5415000</v>
      </c>
      <c r="C8">
        <v>0</v>
      </c>
      <c r="D8">
        <v>0</v>
      </c>
      <c r="E8">
        <v>2000000</v>
      </c>
      <c r="F8">
        <v>3500000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540000</v>
      </c>
      <c r="O8">
        <v>0</v>
      </c>
      <c r="P8">
        <v>0</v>
      </c>
      <c r="Q8">
        <v>890000</v>
      </c>
      <c r="R8">
        <v>0</v>
      </c>
      <c r="S8">
        <v>0</v>
      </c>
    </row>
    <row r="9" spans="1:19" x14ac:dyDescent="0.25">
      <c r="A9">
        <v>2033</v>
      </c>
      <c r="B9">
        <v>600000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6700000</v>
      </c>
      <c r="S9">
        <v>0</v>
      </c>
    </row>
    <row r="10" spans="1:19" x14ac:dyDescent="0.25">
      <c r="A10">
        <v>2034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5600000</v>
      </c>
      <c r="S10">
        <v>0</v>
      </c>
    </row>
    <row r="11" spans="1:19" s="12" customFormat="1" x14ac:dyDescent="0.25">
      <c r="A11" s="12">
        <v>2035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150000</v>
      </c>
      <c r="L11" s="12">
        <v>270000</v>
      </c>
      <c r="M11" s="12">
        <v>0</v>
      </c>
      <c r="N11" s="12">
        <v>0</v>
      </c>
      <c r="O11" s="12">
        <v>0</v>
      </c>
      <c r="P11" s="12">
        <v>0</v>
      </c>
      <c r="Q11" s="12">
        <v>1500000</v>
      </c>
      <c r="R11" s="12">
        <v>1870000</v>
      </c>
      <c r="S11" s="12">
        <v>0</v>
      </c>
    </row>
    <row r="12" spans="1:19" x14ac:dyDescent="0.25">
      <c r="A12">
        <v>2036</v>
      </c>
      <c r="B12">
        <v>7650000</v>
      </c>
      <c r="C12">
        <v>2610000</v>
      </c>
      <c r="D12">
        <v>112000</v>
      </c>
      <c r="E12">
        <v>6290000</v>
      </c>
      <c r="F12">
        <v>12950000</v>
      </c>
      <c r="G12">
        <v>5400000</v>
      </c>
      <c r="H12">
        <v>0</v>
      </c>
      <c r="I12">
        <v>0</v>
      </c>
      <c r="J12">
        <v>260000</v>
      </c>
      <c r="K12">
        <v>2000000</v>
      </c>
      <c r="L12">
        <v>450000</v>
      </c>
      <c r="M12">
        <v>0</v>
      </c>
      <c r="N12">
        <v>800000</v>
      </c>
      <c r="O12">
        <v>1000000</v>
      </c>
      <c r="P12">
        <v>0</v>
      </c>
      <c r="Q12">
        <v>11195000</v>
      </c>
      <c r="R12">
        <v>10600000</v>
      </c>
      <c r="S12">
        <v>1360000</v>
      </c>
    </row>
    <row r="13" spans="1:19" x14ac:dyDescent="0.25">
      <c r="A13">
        <v>2037</v>
      </c>
      <c r="B13">
        <v>7650000</v>
      </c>
      <c r="C13">
        <v>2610000</v>
      </c>
      <c r="D13">
        <v>112000</v>
      </c>
      <c r="E13">
        <v>6290000</v>
      </c>
      <c r="F13">
        <v>12950000</v>
      </c>
      <c r="G13">
        <v>5400000</v>
      </c>
      <c r="H13">
        <v>0</v>
      </c>
      <c r="I13">
        <v>0</v>
      </c>
      <c r="J13">
        <v>260000</v>
      </c>
      <c r="K13">
        <v>2000000</v>
      </c>
      <c r="L13">
        <v>450000</v>
      </c>
      <c r="M13">
        <v>0</v>
      </c>
      <c r="N13">
        <v>800000</v>
      </c>
      <c r="O13">
        <v>1000000</v>
      </c>
      <c r="P13">
        <v>0</v>
      </c>
      <c r="Q13">
        <v>11195000</v>
      </c>
      <c r="R13">
        <v>10600000</v>
      </c>
      <c r="S13">
        <v>1360000</v>
      </c>
    </row>
    <row r="14" spans="1:19" x14ac:dyDescent="0.25">
      <c r="A14">
        <v>2038</v>
      </c>
      <c r="B14">
        <v>7650000</v>
      </c>
      <c r="C14">
        <v>2610000</v>
      </c>
      <c r="D14">
        <v>112000</v>
      </c>
      <c r="E14">
        <v>6290000</v>
      </c>
      <c r="F14">
        <v>12950000</v>
      </c>
      <c r="G14">
        <v>5400000</v>
      </c>
      <c r="H14">
        <v>0</v>
      </c>
      <c r="I14">
        <v>0</v>
      </c>
      <c r="J14">
        <v>260000</v>
      </c>
      <c r="K14">
        <v>2000000</v>
      </c>
      <c r="L14">
        <v>450000</v>
      </c>
      <c r="M14">
        <v>0</v>
      </c>
      <c r="N14">
        <v>800000</v>
      </c>
      <c r="O14">
        <v>1000000</v>
      </c>
      <c r="P14">
        <v>0</v>
      </c>
      <c r="Q14">
        <v>11195000</v>
      </c>
      <c r="R14">
        <v>10600000</v>
      </c>
      <c r="S14">
        <v>1360000</v>
      </c>
    </row>
    <row r="15" spans="1:19" x14ac:dyDescent="0.25">
      <c r="A15">
        <v>2039</v>
      </c>
      <c r="B15">
        <v>7650000</v>
      </c>
      <c r="C15">
        <v>2610000</v>
      </c>
      <c r="D15">
        <v>112000</v>
      </c>
      <c r="E15">
        <v>6290000</v>
      </c>
      <c r="F15">
        <v>12950000</v>
      </c>
      <c r="G15">
        <v>5400000</v>
      </c>
      <c r="H15">
        <v>0</v>
      </c>
      <c r="I15">
        <v>0</v>
      </c>
      <c r="J15">
        <v>260000</v>
      </c>
      <c r="K15">
        <v>2000000</v>
      </c>
      <c r="L15">
        <v>450000</v>
      </c>
      <c r="M15">
        <v>0</v>
      </c>
      <c r="N15">
        <v>800000</v>
      </c>
      <c r="O15">
        <v>1000000</v>
      </c>
      <c r="P15">
        <v>0</v>
      </c>
      <c r="Q15">
        <v>11195000</v>
      </c>
      <c r="R15">
        <v>10600000</v>
      </c>
      <c r="S15">
        <v>1360000</v>
      </c>
    </row>
    <row r="16" spans="1:19" x14ac:dyDescent="0.25">
      <c r="A16">
        <v>2040</v>
      </c>
      <c r="B16">
        <v>7650000</v>
      </c>
      <c r="C16">
        <v>2610000</v>
      </c>
      <c r="D16">
        <v>112000</v>
      </c>
      <c r="E16">
        <v>6290000</v>
      </c>
      <c r="F16">
        <v>12950000</v>
      </c>
      <c r="G16">
        <v>5400000</v>
      </c>
      <c r="H16">
        <v>0</v>
      </c>
      <c r="I16">
        <v>0</v>
      </c>
      <c r="J16">
        <v>260000</v>
      </c>
      <c r="K16">
        <v>2000000</v>
      </c>
      <c r="L16">
        <v>450000</v>
      </c>
      <c r="M16">
        <v>0</v>
      </c>
      <c r="N16">
        <v>800000</v>
      </c>
      <c r="O16">
        <v>1000000</v>
      </c>
      <c r="P16">
        <v>0</v>
      </c>
      <c r="Q16">
        <v>11195000</v>
      </c>
      <c r="R16">
        <v>10600000</v>
      </c>
      <c r="S16">
        <v>1360000</v>
      </c>
    </row>
    <row r="17" spans="1:19" x14ac:dyDescent="0.25">
      <c r="A17">
        <v>2041</v>
      </c>
      <c r="B17">
        <v>7650000</v>
      </c>
      <c r="C17">
        <v>2610000</v>
      </c>
      <c r="D17">
        <v>112000</v>
      </c>
      <c r="E17">
        <v>6290000</v>
      </c>
      <c r="F17">
        <v>12950000</v>
      </c>
      <c r="G17">
        <v>5400000</v>
      </c>
      <c r="H17">
        <v>0</v>
      </c>
      <c r="I17">
        <v>0</v>
      </c>
      <c r="J17">
        <v>260000</v>
      </c>
      <c r="K17">
        <v>2000000</v>
      </c>
      <c r="L17">
        <v>450000</v>
      </c>
      <c r="M17">
        <v>0</v>
      </c>
      <c r="N17">
        <v>800000</v>
      </c>
      <c r="O17">
        <v>1000000</v>
      </c>
      <c r="P17">
        <v>0</v>
      </c>
      <c r="Q17">
        <v>11195000</v>
      </c>
      <c r="R17">
        <v>10600000</v>
      </c>
      <c r="S17">
        <v>1360000</v>
      </c>
    </row>
    <row r="18" spans="1:19" x14ac:dyDescent="0.25">
      <c r="A18">
        <v>2042</v>
      </c>
      <c r="B18">
        <v>7650000</v>
      </c>
      <c r="C18">
        <v>2610000</v>
      </c>
      <c r="D18">
        <v>112000</v>
      </c>
      <c r="E18">
        <v>6290000</v>
      </c>
      <c r="F18">
        <v>12950000</v>
      </c>
      <c r="G18">
        <v>5400000</v>
      </c>
      <c r="H18">
        <v>0</v>
      </c>
      <c r="I18">
        <v>0</v>
      </c>
      <c r="J18">
        <v>260000</v>
      </c>
      <c r="K18">
        <v>2000000</v>
      </c>
      <c r="L18">
        <v>450000</v>
      </c>
      <c r="M18">
        <v>0</v>
      </c>
      <c r="N18">
        <v>800000</v>
      </c>
      <c r="O18">
        <v>1000000</v>
      </c>
      <c r="P18">
        <v>0</v>
      </c>
      <c r="Q18">
        <v>11195000</v>
      </c>
      <c r="R18">
        <v>10600000</v>
      </c>
      <c r="S18">
        <v>1360000</v>
      </c>
    </row>
    <row r="19" spans="1:19" x14ac:dyDescent="0.25">
      <c r="A19">
        <v>2043</v>
      </c>
      <c r="B19">
        <v>7650000</v>
      </c>
      <c r="C19">
        <v>2610000</v>
      </c>
      <c r="D19">
        <v>112000</v>
      </c>
      <c r="E19">
        <v>6290000</v>
      </c>
      <c r="F19">
        <v>12950000</v>
      </c>
      <c r="G19">
        <v>5400000</v>
      </c>
      <c r="H19">
        <v>0</v>
      </c>
      <c r="I19">
        <v>0</v>
      </c>
      <c r="J19">
        <v>260000</v>
      </c>
      <c r="K19">
        <v>2000000</v>
      </c>
      <c r="L19">
        <v>450000</v>
      </c>
      <c r="M19">
        <v>0</v>
      </c>
      <c r="N19">
        <v>800000</v>
      </c>
      <c r="O19">
        <v>1000000</v>
      </c>
      <c r="P19">
        <v>0</v>
      </c>
      <c r="Q19">
        <v>11195000</v>
      </c>
      <c r="R19">
        <v>10600000</v>
      </c>
      <c r="S19">
        <v>1360000</v>
      </c>
    </row>
    <row r="20" spans="1:19" x14ac:dyDescent="0.25">
      <c r="A20">
        <v>2044</v>
      </c>
      <c r="B20">
        <v>7650000</v>
      </c>
      <c r="C20">
        <v>2610000</v>
      </c>
      <c r="D20">
        <v>112000</v>
      </c>
      <c r="E20">
        <v>6290000</v>
      </c>
      <c r="F20">
        <v>12950000</v>
      </c>
      <c r="G20">
        <v>5400000</v>
      </c>
      <c r="H20">
        <v>0</v>
      </c>
      <c r="I20">
        <v>0</v>
      </c>
      <c r="J20">
        <v>260000</v>
      </c>
      <c r="K20">
        <v>2000000</v>
      </c>
      <c r="L20">
        <v>450000</v>
      </c>
      <c r="M20">
        <v>0</v>
      </c>
      <c r="N20">
        <v>800000</v>
      </c>
      <c r="O20">
        <v>1000000</v>
      </c>
      <c r="P20">
        <v>0</v>
      </c>
      <c r="Q20">
        <v>11195000</v>
      </c>
      <c r="R20">
        <v>10600000</v>
      </c>
      <c r="S20">
        <v>1360000</v>
      </c>
    </row>
    <row r="21" spans="1:19" x14ac:dyDescent="0.25">
      <c r="A21">
        <v>2045</v>
      </c>
      <c r="B21">
        <v>7650000</v>
      </c>
      <c r="C21">
        <v>2610000</v>
      </c>
      <c r="D21">
        <v>112000</v>
      </c>
      <c r="E21">
        <v>6290000</v>
      </c>
      <c r="F21">
        <v>12950000</v>
      </c>
      <c r="G21">
        <v>5400000</v>
      </c>
      <c r="H21">
        <v>0</v>
      </c>
      <c r="I21">
        <v>0</v>
      </c>
      <c r="J21">
        <v>260000</v>
      </c>
      <c r="K21">
        <v>2000000</v>
      </c>
      <c r="L21">
        <v>450000</v>
      </c>
      <c r="M21">
        <v>0</v>
      </c>
      <c r="N21">
        <v>800000</v>
      </c>
      <c r="O21">
        <v>1000000</v>
      </c>
      <c r="P21">
        <v>0</v>
      </c>
      <c r="Q21">
        <v>11195000</v>
      </c>
      <c r="R21">
        <v>10600000</v>
      </c>
      <c r="S21">
        <v>1360000</v>
      </c>
    </row>
    <row r="22" spans="1:19" x14ac:dyDescent="0.25">
      <c r="A22">
        <v>2046</v>
      </c>
      <c r="B22">
        <v>7650000</v>
      </c>
      <c r="C22">
        <v>2610000</v>
      </c>
      <c r="D22">
        <v>112000</v>
      </c>
      <c r="E22">
        <v>6290000</v>
      </c>
      <c r="F22">
        <v>12950000</v>
      </c>
      <c r="G22">
        <v>5400000</v>
      </c>
      <c r="H22">
        <v>0</v>
      </c>
      <c r="I22">
        <v>0</v>
      </c>
      <c r="J22">
        <v>260000</v>
      </c>
      <c r="K22">
        <v>2000000</v>
      </c>
      <c r="L22">
        <v>450000</v>
      </c>
      <c r="M22">
        <v>0</v>
      </c>
      <c r="N22">
        <v>800000</v>
      </c>
      <c r="O22">
        <v>1000000</v>
      </c>
      <c r="P22">
        <v>0</v>
      </c>
      <c r="Q22">
        <v>11195000</v>
      </c>
      <c r="R22">
        <v>10600000</v>
      </c>
      <c r="S22">
        <v>1360000</v>
      </c>
    </row>
    <row r="23" spans="1:19" x14ac:dyDescent="0.25">
      <c r="A23">
        <v>2047</v>
      </c>
      <c r="B23">
        <v>7650000</v>
      </c>
      <c r="C23">
        <v>2610000</v>
      </c>
      <c r="D23">
        <v>112000</v>
      </c>
      <c r="E23">
        <v>6290000</v>
      </c>
      <c r="F23">
        <v>12950000</v>
      </c>
      <c r="G23">
        <v>5400000</v>
      </c>
      <c r="H23">
        <v>0</v>
      </c>
      <c r="I23">
        <v>0</v>
      </c>
      <c r="J23">
        <v>260000</v>
      </c>
      <c r="K23">
        <v>2000000</v>
      </c>
      <c r="L23">
        <v>450000</v>
      </c>
      <c r="M23">
        <v>0</v>
      </c>
      <c r="N23">
        <v>800000</v>
      </c>
      <c r="O23">
        <v>1000000</v>
      </c>
      <c r="P23">
        <v>0</v>
      </c>
      <c r="Q23">
        <v>11195000</v>
      </c>
      <c r="R23">
        <v>10600000</v>
      </c>
      <c r="S23">
        <v>1360000</v>
      </c>
    </row>
    <row r="24" spans="1:19" x14ac:dyDescent="0.25">
      <c r="A24">
        <v>2048</v>
      </c>
      <c r="B24">
        <v>7650000</v>
      </c>
      <c r="C24">
        <v>2610000</v>
      </c>
      <c r="D24">
        <v>112000</v>
      </c>
      <c r="E24">
        <v>6290000</v>
      </c>
      <c r="F24">
        <v>12950000</v>
      </c>
      <c r="G24">
        <v>5400000</v>
      </c>
      <c r="H24">
        <v>0</v>
      </c>
      <c r="I24">
        <v>0</v>
      </c>
      <c r="J24">
        <v>260000</v>
      </c>
      <c r="K24">
        <v>2000000</v>
      </c>
      <c r="L24">
        <v>450000</v>
      </c>
      <c r="M24">
        <v>0</v>
      </c>
      <c r="N24">
        <v>800000</v>
      </c>
      <c r="O24">
        <v>1000000</v>
      </c>
      <c r="P24">
        <v>0</v>
      </c>
      <c r="Q24">
        <v>11195000</v>
      </c>
      <c r="R24">
        <v>10600000</v>
      </c>
      <c r="S24">
        <v>1360000</v>
      </c>
    </row>
    <row r="25" spans="1:19" x14ac:dyDescent="0.25">
      <c r="A25">
        <v>2049</v>
      </c>
      <c r="B25">
        <v>7650000</v>
      </c>
      <c r="C25">
        <v>2610000</v>
      </c>
      <c r="D25">
        <v>112000</v>
      </c>
      <c r="E25">
        <v>6290000</v>
      </c>
      <c r="F25">
        <v>12950000</v>
      </c>
      <c r="G25">
        <v>5400000</v>
      </c>
      <c r="H25">
        <v>0</v>
      </c>
      <c r="I25">
        <v>0</v>
      </c>
      <c r="J25">
        <v>260000</v>
      </c>
      <c r="K25">
        <v>2000000</v>
      </c>
      <c r="L25">
        <v>450000</v>
      </c>
      <c r="M25">
        <v>0</v>
      </c>
      <c r="N25">
        <v>800000</v>
      </c>
      <c r="O25">
        <v>1000000</v>
      </c>
      <c r="P25">
        <v>0</v>
      </c>
      <c r="Q25">
        <v>11195000</v>
      </c>
      <c r="R25">
        <v>10600000</v>
      </c>
      <c r="S25">
        <v>1360000</v>
      </c>
    </row>
    <row r="26" spans="1:19" x14ac:dyDescent="0.25">
      <c r="A26">
        <v>2050</v>
      </c>
      <c r="B26">
        <v>7650000</v>
      </c>
      <c r="C26">
        <v>2610000</v>
      </c>
      <c r="D26">
        <v>112000</v>
      </c>
      <c r="E26">
        <v>6290000</v>
      </c>
      <c r="F26">
        <v>12950000</v>
      </c>
      <c r="G26">
        <v>5400000</v>
      </c>
      <c r="H26">
        <v>0</v>
      </c>
      <c r="I26">
        <v>0</v>
      </c>
      <c r="J26">
        <v>260000</v>
      </c>
      <c r="K26">
        <v>2000000</v>
      </c>
      <c r="L26">
        <v>450000</v>
      </c>
      <c r="M26">
        <v>0</v>
      </c>
      <c r="N26">
        <v>800000</v>
      </c>
      <c r="O26">
        <v>1000000</v>
      </c>
      <c r="P26">
        <v>0</v>
      </c>
      <c r="Q26">
        <v>11195000</v>
      </c>
      <c r="R26">
        <v>10600000</v>
      </c>
      <c r="S26">
        <v>1360000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CAPEX Transformation</vt:lpstr>
      <vt:lpstr>cc_expansion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Oitzinger, Maximilian</dc:creator>
  <cp:lastModifiedBy>Oitzinger, Maximilian</cp:lastModifiedBy>
  <dcterms:created xsi:type="dcterms:W3CDTF">2026-10-08T08:48:05Z</dcterms:created>
  <dcterms:modified xsi:type="dcterms:W3CDTF">2026-10-09T11:37:30Z</dcterms:modified>
</cp:coreProperties>
</file>